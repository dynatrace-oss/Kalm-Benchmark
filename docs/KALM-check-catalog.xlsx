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ynatrace.sharepoint.com/sites/InnovationLab/research/Shared Documents/Research/Cloud Native Security/2025_KALM_Benchmark/"/>
    </mc:Choice>
  </mc:AlternateContent>
  <xr:revisionPtr revIDLastSave="1070" documentId="8_{B302ADA9-4209-4BD5-A582-EC18415B90BE}" xr6:coauthVersionLast="47" xr6:coauthVersionMax="47" xr10:uidLastSave="{67BED8D3-3216-440D-B874-5A51FE67D0AF}"/>
  <bookViews>
    <workbookView xWindow="-108" yWindow="-108" windowWidth="23256" windowHeight="13896" tabRatio="1000" activeTab="2" xr2:uid="{00000000-000D-0000-FFFF-FFFF00000000}"/>
  </bookViews>
  <sheets>
    <sheet name="Overview - New" sheetId="12" r:id="rId1"/>
    <sheet name="Overall Matcher" sheetId="8" r:id="rId2"/>
    <sheet name="KALM-Checks" sheetId="10" r:id="rId3"/>
    <sheet name="CIS Kubernetes 1.12" sheetId="3" r:id="rId4"/>
    <sheet name="NSA-CISA k8s hardening" sheetId="4" r:id="rId5"/>
    <sheet name="K8S STIG" sheetId="5" r:id="rId6"/>
    <sheet name="BSI" sheetId="6" r:id="rId7"/>
    <sheet name="PCI Container Guidance" sheetId="7" r:id="rId8"/>
    <sheet name="MS TM for K8S" sheetId="9" r:id="rId9"/>
    <sheet name="Kubernetes security checklists" sheetId="11" r:id="rId10"/>
    <sheet name="OWASP"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42" i="10" l="1"/>
  <c r="E202" i="8"/>
  <c r="K21" i="12"/>
  <c r="K22" i="12"/>
  <c r="K19" i="12"/>
  <c r="K18" i="12"/>
  <c r="K17" i="12"/>
  <c r="K16" i="12"/>
  <c r="K15" i="12"/>
  <c r="K14" i="12"/>
  <c r="K13" i="12"/>
  <c r="K12" i="12"/>
  <c r="K11" i="12"/>
  <c r="K10" i="12"/>
  <c r="K9" i="12"/>
  <c r="K8" i="12"/>
  <c r="K7" i="12"/>
  <c r="K6" i="12"/>
  <c r="K5" i="12"/>
  <c r="K4" i="12"/>
  <c r="E198" i="8"/>
  <c r="K25" i="12" l="1"/>
  <c r="K23" i="12"/>
  <c r="K24" i="12"/>
  <c r="L203" i="8"/>
  <c r="L204" i="8"/>
  <c r="E183" i="8"/>
  <c r="E173" i="8"/>
  <c r="E172" i="8"/>
  <c r="E171" i="8"/>
  <c r="E170" i="8"/>
  <c r="E40" i="8"/>
  <c r="A71" i="10" s="1"/>
  <c r="E156" i="8"/>
  <c r="E157" i="8"/>
  <c r="E158" i="8"/>
  <c r="E159" i="8"/>
  <c r="E161" i="8"/>
  <c r="E163" i="8"/>
  <c r="E166" i="8"/>
  <c r="E168" i="8"/>
  <c r="E169" i="8"/>
  <c r="E174" i="8"/>
  <c r="E175" i="8"/>
  <c r="E176" i="8"/>
  <c r="E181" i="8"/>
  <c r="E186" i="8"/>
  <c r="E187" i="8"/>
  <c r="E188" i="8"/>
  <c r="E189" i="8"/>
  <c r="E190" i="8"/>
  <c r="E192" i="8"/>
  <c r="E193" i="8"/>
  <c r="E203" i="8"/>
  <c r="E204" i="8"/>
  <c r="E205" i="8"/>
  <c r="E206" i="8"/>
  <c r="E207" i="8"/>
  <c r="E225" i="8"/>
  <c r="E226" i="8"/>
  <c r="E231" i="8"/>
  <c r="E237" i="8"/>
  <c r="E233" i="8"/>
  <c r="E232" i="8"/>
  <c r="E234" i="8"/>
  <c r="E247" i="8"/>
  <c r="E248" i="8"/>
  <c r="E250" i="8"/>
  <c r="E251" i="8"/>
  <c r="E252" i="8"/>
  <c r="E245" i="8"/>
  <c r="E194" i="8"/>
  <c r="E209" i="8"/>
  <c r="E220" i="8"/>
  <c r="E222" i="8"/>
  <c r="E223" i="8"/>
  <c r="E221" i="8"/>
  <c r="E219" i="8"/>
  <c r="L182" i="8"/>
  <c r="E182" i="8"/>
  <c r="E162" i="8"/>
  <c r="E179" i="8"/>
  <c r="E167" i="8"/>
  <c r="E177" i="8"/>
  <c r="E178" i="8"/>
  <c r="E180" i="8"/>
  <c r="L175" i="8"/>
  <c r="K175" i="8"/>
  <c r="K181" i="8"/>
  <c r="L181" i="8"/>
  <c r="N181" i="8"/>
  <c r="M181" i="8"/>
  <c r="A70" i="10" l="1"/>
  <c r="A85" i="10"/>
  <c r="A64" i="10"/>
  <c r="A66" i="10"/>
  <c r="A67" i="10"/>
  <c r="A65" i="10"/>
  <c r="A63" i="10"/>
  <c r="A14" i="10"/>
  <c r="A62" i="10"/>
  <c r="A13" i="10"/>
  <c r="A25" i="10"/>
  <c r="A61" i="10"/>
  <c r="A15" i="10"/>
  <c r="A12" i="10"/>
  <c r="A24" i="10"/>
  <c r="A60" i="10"/>
  <c r="A23" i="10"/>
  <c r="A59" i="10"/>
  <c r="A58" i="10"/>
  <c r="A57" i="10"/>
  <c r="A56" i="10"/>
  <c r="A16" i="10"/>
  <c r="A51" i="10"/>
  <c r="A55" i="10"/>
  <c r="A50" i="10"/>
  <c r="A33" i="10"/>
  <c r="A54" i="10"/>
  <c r="A49" i="10"/>
  <c r="A69" i="10"/>
  <c r="A53" i="10"/>
  <c r="A32" i="10"/>
  <c r="A48" i="10"/>
  <c r="A68" i="10"/>
  <c r="I207" i="8"/>
  <c r="E261" i="8"/>
  <c r="E260" i="8"/>
  <c r="E259" i="8"/>
  <c r="E256" i="8"/>
  <c r="J21" i="12" l="1"/>
  <c r="N114" i="8"/>
  <c r="N113" i="8"/>
  <c r="N111" i="8"/>
  <c r="N144" i="8"/>
  <c r="N143" i="8"/>
  <c r="N224" i="8"/>
  <c r="N227" i="8"/>
  <c r="N239" i="8"/>
  <c r="N59" i="8"/>
  <c r="N58" i="8"/>
  <c r="N237" i="8"/>
  <c r="N231" i="8"/>
  <c r="N210" i="8"/>
  <c r="N235" i="8"/>
  <c r="N189" i="8"/>
  <c r="N163" i="8"/>
  <c r="N161" i="8"/>
  <c r="N226" i="8"/>
  <c r="N185" i="8"/>
  <c r="N190" i="8"/>
  <c r="N209" i="8"/>
  <c r="N199" i="8"/>
  <c r="N192" i="8"/>
  <c r="N250" i="8"/>
  <c r="N242" i="8"/>
  <c r="J18" i="12" s="1"/>
  <c r="N252" i="8"/>
  <c r="N245" i="8"/>
  <c r="N133" i="8"/>
  <c r="N37" i="8"/>
  <c r="L78" i="8"/>
  <c r="N78" i="8"/>
  <c r="N77" i="8"/>
  <c r="N108" i="8"/>
  <c r="N107" i="8"/>
  <c r="J11" i="12"/>
  <c r="J13" i="12"/>
  <c r="N151" i="8"/>
  <c r="N93" i="8"/>
  <c r="J7" i="12" s="1"/>
  <c r="N88" i="8"/>
  <c r="J6" i="12" s="1"/>
  <c r="N104" i="8"/>
  <c r="J8" i="12" s="1"/>
  <c r="N253" i="8"/>
  <c r="N5" i="8"/>
  <c r="J4" i="12" s="1"/>
  <c r="K156" i="8"/>
  <c r="K239" i="8"/>
  <c r="C21" i="12"/>
  <c r="E21" i="12"/>
  <c r="F21" i="12"/>
  <c r="G21" i="12"/>
  <c r="H21" i="12"/>
  <c r="I21" i="12"/>
  <c r="M257" i="8"/>
  <c r="M256" i="8"/>
  <c r="J255" i="8"/>
  <c r="J256" i="8"/>
  <c r="J257" i="8"/>
  <c r="K257" i="8"/>
  <c r="K256" i="8"/>
  <c r="K255" i="8"/>
  <c r="H49" i="8"/>
  <c r="H48" i="8"/>
  <c r="M235" i="8"/>
  <c r="H235" i="8"/>
  <c r="M114" i="8"/>
  <c r="L114" i="8"/>
  <c r="K114" i="8"/>
  <c r="H114" i="8"/>
  <c r="H234" i="8"/>
  <c r="L230" i="8"/>
  <c r="M234" i="8"/>
  <c r="L234" i="8"/>
  <c r="M233" i="8"/>
  <c r="H232" i="8"/>
  <c r="G232" i="8"/>
  <c r="C16" i="12" s="1"/>
  <c r="J232" i="8"/>
  <c r="K232" i="8"/>
  <c r="L232" i="8"/>
  <c r="M232" i="8"/>
  <c r="M71" i="8"/>
  <c r="M74" i="8"/>
  <c r="M75" i="8"/>
  <c r="M73" i="8"/>
  <c r="M72" i="8"/>
  <c r="M70" i="8"/>
  <c r="M69" i="8"/>
  <c r="M171" i="8"/>
  <c r="M68" i="8"/>
  <c r="C19" i="12"/>
  <c r="D18" i="12"/>
  <c r="E18" i="12"/>
  <c r="F18" i="12"/>
  <c r="C18" i="12"/>
  <c r="D17" i="12"/>
  <c r="F17" i="12"/>
  <c r="C17" i="12"/>
  <c r="E16" i="12"/>
  <c r="C15" i="12"/>
  <c r="E14" i="12"/>
  <c r="C14" i="12"/>
  <c r="D13" i="12"/>
  <c r="E13" i="12"/>
  <c r="F13" i="12"/>
  <c r="H13" i="12"/>
  <c r="I13" i="12"/>
  <c r="C13" i="12"/>
  <c r="H12" i="12"/>
  <c r="C12" i="12"/>
  <c r="H11" i="12"/>
  <c r="I11" i="12"/>
  <c r="C11" i="12"/>
  <c r="I4" i="12"/>
  <c r="C4" i="12"/>
  <c r="C5" i="12"/>
  <c r="C6" i="12"/>
  <c r="F7" i="12"/>
  <c r="I7" i="12"/>
  <c r="C7" i="12"/>
  <c r="C8" i="12"/>
  <c r="E9" i="12"/>
  <c r="I9" i="12"/>
  <c r="C9" i="12"/>
  <c r="F10" i="12"/>
  <c r="C10" i="12"/>
  <c r="M43" i="8"/>
  <c r="M40" i="8"/>
  <c r="M242" i="8"/>
  <c r="M32" i="8"/>
  <c r="I199" i="8"/>
  <c r="I192" i="8"/>
  <c r="I190" i="8"/>
  <c r="I189" i="8"/>
  <c r="I188" i="8"/>
  <c r="I187" i="8"/>
  <c r="I186" i="8"/>
  <c r="I16" i="8"/>
  <c r="I14" i="8"/>
  <c r="I12" i="8"/>
  <c r="I10" i="8"/>
  <c r="I8" i="8"/>
  <c r="I15" i="8"/>
  <c r="I13" i="8"/>
  <c r="I11" i="8"/>
  <c r="I9" i="8"/>
  <c r="I7" i="8"/>
  <c r="I24" i="8"/>
  <c r="I22" i="8"/>
  <c r="I20" i="8"/>
  <c r="I47" i="8"/>
  <c r="I48" i="8"/>
  <c r="I49" i="8"/>
  <c r="I23" i="8"/>
  <c r="I21" i="8"/>
  <c r="I19" i="8"/>
  <c r="I17" i="8"/>
  <c r="I131" i="8"/>
  <c r="I130" i="8"/>
  <c r="I122" i="8"/>
  <c r="I123" i="8"/>
  <c r="I126" i="8"/>
  <c r="I27" i="8"/>
  <c r="I26" i="8"/>
  <c r="I25" i="8"/>
  <c r="I129" i="8"/>
  <c r="I128" i="8"/>
  <c r="I125" i="8"/>
  <c r="I124" i="8"/>
  <c r="I18" i="8"/>
  <c r="I30" i="8"/>
  <c r="I50" i="8"/>
  <c r="I57" i="8"/>
  <c r="I102" i="8"/>
  <c r="I101" i="8"/>
  <c r="I97" i="8"/>
  <c r="I56" i="8"/>
  <c r="I55" i="8"/>
  <c r="I84" i="8"/>
  <c r="I135" i="8"/>
  <c r="I60" i="8"/>
  <c r="I252" i="8"/>
  <c r="I245" i="8"/>
  <c r="I137" i="8"/>
  <c r="I237" i="8"/>
  <c r="E17" i="12" s="1"/>
  <c r="I81" i="8"/>
  <c r="I139" i="8"/>
  <c r="I112" i="8"/>
  <c r="I45" i="8"/>
  <c r="I134" i="8"/>
  <c r="I133" i="8"/>
  <c r="I35" i="8"/>
  <c r="I29" i="8"/>
  <c r="I136" i="8"/>
  <c r="I86" i="8"/>
  <c r="I37" i="8"/>
  <c r="I36" i="8"/>
  <c r="I82" i="8"/>
  <c r="I98" i="8"/>
  <c r="J185" i="8"/>
  <c r="J207" i="8"/>
  <c r="J203" i="8"/>
  <c r="J202" i="8"/>
  <c r="J199" i="8"/>
  <c r="J198" i="8"/>
  <c r="J192" i="8"/>
  <c r="J190" i="8"/>
  <c r="J189" i="8"/>
  <c r="J188" i="8"/>
  <c r="J187" i="8"/>
  <c r="J186" i="8"/>
  <c r="K186" i="8"/>
  <c r="K187" i="8"/>
  <c r="J231" i="8"/>
  <c r="J229" i="8"/>
  <c r="J173" i="8"/>
  <c r="J172" i="8"/>
  <c r="J171" i="8"/>
  <c r="J170" i="8"/>
  <c r="J169" i="8"/>
  <c r="J166" i="8"/>
  <c r="J165" i="8"/>
  <c r="J163" i="8"/>
  <c r="J161" i="8"/>
  <c r="J159" i="8"/>
  <c r="J158" i="8"/>
  <c r="J157" i="8"/>
  <c r="J156" i="8"/>
  <c r="J147" i="8"/>
  <c r="J59" i="8"/>
  <c r="J58" i="8"/>
  <c r="J109" i="8"/>
  <c r="J108" i="8"/>
  <c r="J107" i="8"/>
  <c r="J37" i="8"/>
  <c r="J35" i="8"/>
  <c r="J29" i="8"/>
  <c r="J123" i="8"/>
  <c r="J124" i="8"/>
  <c r="J125" i="8"/>
  <c r="J126" i="8"/>
  <c r="J127" i="8"/>
  <c r="J128" i="8"/>
  <c r="J129" i="8"/>
  <c r="J130" i="8"/>
  <c r="J131" i="8"/>
  <c r="J122" i="8"/>
  <c r="J8" i="8"/>
  <c r="J9" i="8"/>
  <c r="J10" i="8"/>
  <c r="J11" i="8"/>
  <c r="J12" i="8"/>
  <c r="J13" i="8"/>
  <c r="J14" i="8"/>
  <c r="J15" i="8"/>
  <c r="J16" i="8"/>
  <c r="J17" i="8"/>
  <c r="J18" i="8"/>
  <c r="J19" i="8"/>
  <c r="J20" i="8"/>
  <c r="J21" i="8"/>
  <c r="J22" i="8"/>
  <c r="J23" i="8"/>
  <c r="J24" i="8"/>
  <c r="J25" i="8"/>
  <c r="J26" i="8"/>
  <c r="J27" i="8"/>
  <c r="J7" i="8"/>
  <c r="E224" i="8"/>
  <c r="H226" i="8"/>
  <c r="H224" i="8"/>
  <c r="I226" i="8"/>
  <c r="I224" i="8"/>
  <c r="I247" i="8"/>
  <c r="J247" i="8"/>
  <c r="J226" i="8"/>
  <c r="J224" i="8"/>
  <c r="K226" i="8"/>
  <c r="K224" i="8"/>
  <c r="L226" i="8"/>
  <c r="L224" i="8"/>
  <c r="M226" i="8"/>
  <c r="M224" i="8"/>
  <c r="M249" i="8"/>
  <c r="M166" i="8"/>
  <c r="M183" i="8"/>
  <c r="M160" i="8"/>
  <c r="H161" i="8"/>
  <c r="K161" i="8"/>
  <c r="M161" i="8"/>
  <c r="M200" i="8"/>
  <c r="M186" i="8"/>
  <c r="M197" i="8"/>
  <c r="M196" i="8"/>
  <c r="M195" i="8"/>
  <c r="M209" i="8"/>
  <c r="M191" i="8"/>
  <c r="M248" i="8"/>
  <c r="M194" i="8"/>
  <c r="M193" i="8"/>
  <c r="M164" i="8"/>
  <c r="M162" i="8"/>
  <c r="M210" i="8"/>
  <c r="M211" i="8"/>
  <c r="M185" i="8"/>
  <c r="M243" i="8"/>
  <c r="M61" i="8"/>
  <c r="M52" i="8"/>
  <c r="M41" i="8"/>
  <c r="M163" i="8"/>
  <c r="M237" i="8"/>
  <c r="M239" i="8"/>
  <c r="M59" i="8"/>
  <c r="M58" i="8"/>
  <c r="K240" i="8"/>
  <c r="L240" i="8"/>
  <c r="E240" i="8"/>
  <c r="M240" i="8"/>
  <c r="H113" i="8"/>
  <c r="K113" i="8"/>
  <c r="L113" i="8"/>
  <c r="M113" i="8"/>
  <c r="M199" i="8"/>
  <c r="E200" i="8"/>
  <c r="E201" i="8"/>
  <c r="E199" i="8"/>
  <c r="M213" i="8"/>
  <c r="E211" i="8"/>
  <c r="E212" i="8"/>
  <c r="E213" i="8"/>
  <c r="E214" i="8"/>
  <c r="E215" i="8"/>
  <c r="E216" i="8"/>
  <c r="E217" i="8"/>
  <c r="E218" i="8"/>
  <c r="E210" i="8"/>
  <c r="M247" i="8"/>
  <c r="M207" i="8"/>
  <c r="M203" i="8"/>
  <c r="M202" i="8"/>
  <c r="M198" i="8"/>
  <c r="M192" i="8"/>
  <c r="M190" i="8"/>
  <c r="M189" i="8"/>
  <c r="M188" i="8"/>
  <c r="M187" i="8"/>
  <c r="M159" i="8"/>
  <c r="K88" i="8"/>
  <c r="K104" i="8"/>
  <c r="K151" i="8"/>
  <c r="J104" i="8"/>
  <c r="F8" i="12" s="1"/>
  <c r="J88" i="8"/>
  <c r="F6" i="12" s="1"/>
  <c r="J77" i="8"/>
  <c r="J151" i="8"/>
  <c r="M151" i="8"/>
  <c r="I12" i="12" s="1"/>
  <c r="K77" i="8"/>
  <c r="L77" i="8"/>
  <c r="M77" i="8"/>
  <c r="M104" i="8"/>
  <c r="H104" i="8"/>
  <c r="M95" i="8"/>
  <c r="M97" i="8"/>
  <c r="M98" i="8"/>
  <c r="M99" i="8"/>
  <c r="M102" i="8"/>
  <c r="M101" i="8"/>
  <c r="M103" i="8"/>
  <c r="M31" i="8"/>
  <c r="M231" i="8"/>
  <c r="M229" i="8"/>
  <c r="M82" i="8"/>
  <c r="I6" i="12" s="1"/>
  <c r="M165" i="8"/>
  <c r="K243" i="8"/>
  <c r="E243" i="8"/>
  <c r="K210" i="8"/>
  <c r="L210" i="8"/>
  <c r="K209" i="8"/>
  <c r="H210" i="8"/>
  <c r="H209" i="8"/>
  <c r="I91" i="8"/>
  <c r="L173" i="8"/>
  <c r="L172" i="8"/>
  <c r="L171" i="8"/>
  <c r="L170" i="8"/>
  <c r="L169" i="8"/>
  <c r="L166" i="8"/>
  <c r="L165" i="8"/>
  <c r="L159" i="8"/>
  <c r="L158" i="8"/>
  <c r="L157" i="8"/>
  <c r="L156" i="8"/>
  <c r="L242" i="8"/>
  <c r="H18" i="12" s="1"/>
  <c r="L67" i="8"/>
  <c r="L65" i="8"/>
  <c r="L64" i="8"/>
  <c r="L63" i="8"/>
  <c r="L88" i="8"/>
  <c r="L93" i="8"/>
  <c r="L91" i="8"/>
  <c r="L86" i="8"/>
  <c r="L31" i="8"/>
  <c r="L109" i="8"/>
  <c r="L108" i="8"/>
  <c r="L107" i="8"/>
  <c r="L247" i="8"/>
  <c r="L198" i="8"/>
  <c r="L199" i="8"/>
  <c r="L207" i="8"/>
  <c r="L202" i="8"/>
  <c r="L192" i="8"/>
  <c r="L187" i="8"/>
  <c r="L188" i="8"/>
  <c r="L189" i="8"/>
  <c r="L250" i="8"/>
  <c r="L190" i="8"/>
  <c r="L186" i="8"/>
  <c r="L231" i="8"/>
  <c r="L229" i="8"/>
  <c r="L14" i="8"/>
  <c r="L13" i="8"/>
  <c r="L12" i="8"/>
  <c r="L11" i="8"/>
  <c r="L10" i="8"/>
  <c r="L9" i="8"/>
  <c r="L8" i="8"/>
  <c r="L7" i="8"/>
  <c r="L208" i="8"/>
  <c r="L185" i="8"/>
  <c r="L76" i="8"/>
  <c r="L75" i="8"/>
  <c r="L57" i="8"/>
  <c r="L56" i="8"/>
  <c r="L37" i="8"/>
  <c r="L35" i="8"/>
  <c r="L30" i="8"/>
  <c r="L29" i="8"/>
  <c r="L239" i="8"/>
  <c r="L103" i="8"/>
  <c r="L101" i="8"/>
  <c r="L97" i="8"/>
  <c r="L98" i="8"/>
  <c r="L102" i="8"/>
  <c r="L99" i="8"/>
  <c r="L95" i="8"/>
  <c r="L104" i="8"/>
  <c r="L163" i="8"/>
  <c r="L237" i="8"/>
  <c r="L43" i="8"/>
  <c r="H5" i="8"/>
  <c r="H254" i="8"/>
  <c r="H47" i="8"/>
  <c r="H45" i="8"/>
  <c r="H112" i="8"/>
  <c r="H111" i="8"/>
  <c r="H172" i="8"/>
  <c r="H171" i="8"/>
  <c r="H170" i="8"/>
  <c r="H169" i="8"/>
  <c r="H166" i="8"/>
  <c r="H165" i="8"/>
  <c r="H159" i="8"/>
  <c r="H156" i="8"/>
  <c r="H158" i="8"/>
  <c r="H35" i="8"/>
  <c r="H134" i="8"/>
  <c r="H133" i="8"/>
  <c r="H108" i="8"/>
  <c r="D9" i="12" s="1"/>
  <c r="H29" i="8"/>
  <c r="H173" i="8"/>
  <c r="H41" i="8"/>
  <c r="H82" i="8"/>
  <c r="H141" i="8"/>
  <c r="H157" i="8"/>
  <c r="H59" i="8"/>
  <c r="H58" i="8"/>
  <c r="H92" i="8"/>
  <c r="H87" i="8"/>
  <c r="H62" i="8"/>
  <c r="H117" i="8"/>
  <c r="H116" i="8"/>
  <c r="H125" i="8"/>
  <c r="H124" i="8"/>
  <c r="H24" i="8"/>
  <c r="H23" i="8"/>
  <c r="H22" i="8"/>
  <c r="H21" i="8"/>
  <c r="H20" i="8"/>
  <c r="H19" i="8"/>
  <c r="H127" i="8"/>
  <c r="H126" i="8"/>
  <c r="H103" i="8"/>
  <c r="H102" i="8"/>
  <c r="H101" i="8"/>
  <c r="H99" i="8"/>
  <c r="H98" i="8"/>
  <c r="H97" i="8"/>
  <c r="H95" i="8"/>
  <c r="H91" i="8"/>
  <c r="H86" i="8"/>
  <c r="H84" i="8"/>
  <c r="H76" i="8"/>
  <c r="H65" i="8"/>
  <c r="H64" i="8"/>
  <c r="H63" i="8"/>
  <c r="H60" i="8"/>
  <c r="H57" i="8"/>
  <c r="H56" i="8"/>
  <c r="H55" i="8"/>
  <c r="H37" i="8"/>
  <c r="H34" i="8"/>
  <c r="H33" i="8"/>
  <c r="H31" i="8"/>
  <c r="H146" i="8"/>
  <c r="H231" i="8"/>
  <c r="H229" i="8"/>
  <c r="H252" i="8"/>
  <c r="H245" i="8"/>
  <c r="H147" i="8"/>
  <c r="H247" i="8"/>
  <c r="H163" i="8"/>
  <c r="H208" i="8"/>
  <c r="H207" i="8"/>
  <c r="H203" i="8"/>
  <c r="H202" i="8"/>
  <c r="H199" i="8"/>
  <c r="H198" i="8"/>
  <c r="H190" i="8"/>
  <c r="H189" i="8"/>
  <c r="H188" i="8"/>
  <c r="H187" i="8"/>
  <c r="H186" i="8"/>
  <c r="H185" i="8"/>
  <c r="H192" i="8"/>
  <c r="K254" i="8"/>
  <c r="K252" i="8"/>
  <c r="K245" i="8"/>
  <c r="K192" i="8"/>
  <c r="K5" i="8"/>
  <c r="G4" i="12" s="1"/>
  <c r="K247" i="8"/>
  <c r="K153" i="8"/>
  <c r="G13" i="12" s="1"/>
  <c r="K49" i="8"/>
  <c r="K48" i="8"/>
  <c r="K47" i="8"/>
  <c r="K45" i="8"/>
  <c r="K112" i="8"/>
  <c r="K111" i="8"/>
  <c r="K145" i="8"/>
  <c r="K141" i="8"/>
  <c r="K135" i="8"/>
  <c r="K107" i="8"/>
  <c r="K33" i="8"/>
  <c r="K34" i="8"/>
  <c r="K55" i="8"/>
  <c r="K53" i="8"/>
  <c r="K57" i="8"/>
  <c r="K56" i="8"/>
  <c r="K60" i="8"/>
  <c r="K65" i="8"/>
  <c r="K64" i="8"/>
  <c r="K63" i="8"/>
  <c r="K62" i="8"/>
  <c r="K84" i="8"/>
  <c r="K103" i="8"/>
  <c r="K102" i="8"/>
  <c r="K101" i="8"/>
  <c r="K99" i="8"/>
  <c r="K98" i="8"/>
  <c r="K97" i="8"/>
  <c r="K95" i="8"/>
  <c r="K92" i="8"/>
  <c r="K87" i="8"/>
  <c r="K143" i="8"/>
  <c r="K144" i="8"/>
  <c r="K85" i="8"/>
  <c r="K31" i="8"/>
  <c r="K91" i="8"/>
  <c r="K86" i="8"/>
  <c r="K231" i="8"/>
  <c r="K229" i="8"/>
  <c r="K242" i="8"/>
  <c r="K147" i="8"/>
  <c r="K207" i="8"/>
  <c r="K203" i="8"/>
  <c r="K202" i="8"/>
  <c r="K199" i="8"/>
  <c r="K198" i="8"/>
  <c r="K190" i="8"/>
  <c r="K189" i="8"/>
  <c r="K188" i="8"/>
  <c r="K158" i="8"/>
  <c r="K165" i="8"/>
  <c r="K173" i="8"/>
  <c r="K172" i="8"/>
  <c r="K171" i="8"/>
  <c r="K170" i="8"/>
  <c r="K169" i="8"/>
  <c r="K157" i="8"/>
  <c r="K159" i="8"/>
  <c r="K166" i="8"/>
  <c r="K163" i="8"/>
  <c r="K237" i="8"/>
  <c r="K52" i="8"/>
  <c r="K30" i="8"/>
  <c r="K131" i="8"/>
  <c r="G11" i="12" s="1"/>
  <c r="K82" i="8"/>
  <c r="K83" i="8"/>
  <c r="K108" i="8"/>
  <c r="K134" i="8"/>
  <c r="K133" i="8"/>
  <c r="I5" i="8"/>
  <c r="I120" i="8"/>
  <c r="I208" i="8"/>
  <c r="I46" i="8"/>
  <c r="I111" i="8"/>
  <c r="I127" i="8"/>
  <c r="I254" i="8"/>
  <c r="I33" i="8"/>
  <c r="I76" i="8"/>
  <c r="I75" i="8"/>
  <c r="I68" i="8"/>
  <c r="I150" i="8"/>
  <c r="I99" i="8" a="1"/>
  <c r="I99" i="8" s="1"/>
  <c r="I53" i="8" a="1"/>
  <c r="I53" i="8" s="1"/>
  <c r="I95" i="8" a="1"/>
  <c r="I95" i="8" s="1"/>
  <c r="I141" i="8" a="1"/>
  <c r="I141" i="8" s="1"/>
  <c r="I104" i="8"/>
  <c r="I88" i="8"/>
  <c r="I93" i="8"/>
  <c r="I67" i="8"/>
  <c r="I66" i="8"/>
  <c r="I149" i="8"/>
  <c r="I119" i="8"/>
  <c r="I4" i="8"/>
  <c r="I148" i="8"/>
  <c r="I3" i="8"/>
  <c r="I118" i="8"/>
  <c r="I253" i="8"/>
  <c r="I117" i="8"/>
  <c r="I116" i="8"/>
  <c r="I64" i="8" a="1"/>
  <c r="I64" i="8" s="1"/>
  <c r="I63" i="8"/>
  <c r="I62" i="8"/>
  <c r="I87" i="8"/>
  <c r="J156" i="3"/>
  <c r="I156" i="3" s="1"/>
  <c r="H156" i="3"/>
  <c r="J155" i="3"/>
  <c r="I155" i="3" s="1"/>
  <c r="H155" i="3"/>
  <c r="J154" i="3"/>
  <c r="I154" i="3" s="1"/>
  <c r="H154" i="3"/>
  <c r="J153" i="3"/>
  <c r="I153" i="3" s="1"/>
  <c r="H153" i="3"/>
  <c r="J151" i="3"/>
  <c r="I151" i="3" s="1"/>
  <c r="H151" i="3"/>
  <c r="J149" i="3"/>
  <c r="I149" i="3" s="1"/>
  <c r="H149" i="3"/>
  <c r="J148" i="3"/>
  <c r="H148" i="3"/>
  <c r="J146" i="3"/>
  <c r="I146" i="3" s="1"/>
  <c r="H146" i="3"/>
  <c r="J145" i="3"/>
  <c r="H145" i="3"/>
  <c r="J143" i="3"/>
  <c r="I143" i="3" s="1"/>
  <c r="H143" i="3"/>
  <c r="J142" i="3"/>
  <c r="I142" i="3" s="1"/>
  <c r="H142" i="3"/>
  <c r="J141" i="3"/>
  <c r="I141" i="3" s="1"/>
  <c r="H141" i="3"/>
  <c r="J140" i="3"/>
  <c r="I140" i="3" s="1"/>
  <c r="H140" i="3"/>
  <c r="J139" i="3"/>
  <c r="I139" i="3" s="1"/>
  <c r="H139" i="3"/>
  <c r="J138" i="3"/>
  <c r="I138" i="3" s="1"/>
  <c r="H138" i="3"/>
  <c r="J137" i="3"/>
  <c r="I137" i="3" s="1"/>
  <c r="H137" i="3"/>
  <c r="J136" i="3"/>
  <c r="I136" i="3" s="1"/>
  <c r="H136" i="3"/>
  <c r="J135" i="3"/>
  <c r="I135" i="3" s="1"/>
  <c r="H135" i="3"/>
  <c r="J134" i="3"/>
  <c r="H134" i="3"/>
  <c r="J133" i="3"/>
  <c r="I133" i="3" s="1"/>
  <c r="H133" i="3"/>
  <c r="J132" i="3"/>
  <c r="H132" i="3"/>
  <c r="J130" i="3"/>
  <c r="I130" i="3" s="1"/>
  <c r="H130" i="3"/>
  <c r="J129" i="3"/>
  <c r="I129" i="3" s="1"/>
  <c r="H129" i="3"/>
  <c r="J128" i="3"/>
  <c r="I128" i="3" s="1"/>
  <c r="H128" i="3"/>
  <c r="J127" i="3"/>
  <c r="I127" i="3" s="1"/>
  <c r="H127" i="3"/>
  <c r="J126" i="3"/>
  <c r="I126" i="3" s="1"/>
  <c r="H126" i="3"/>
  <c r="J125" i="3"/>
  <c r="I125" i="3" s="1"/>
  <c r="H125" i="3"/>
  <c r="J124" i="3"/>
  <c r="I124" i="3" s="1"/>
  <c r="H124" i="3"/>
  <c r="J123" i="3"/>
  <c r="I123" i="3" s="1"/>
  <c r="H123" i="3"/>
  <c r="J122" i="3"/>
  <c r="I122" i="3" s="1"/>
  <c r="H122" i="3"/>
  <c r="J121" i="3"/>
  <c r="I121" i="3" s="1"/>
  <c r="H121" i="3"/>
  <c r="J120" i="3"/>
  <c r="I120" i="3" s="1"/>
  <c r="H120" i="3"/>
  <c r="J119" i="3"/>
  <c r="H119" i="3"/>
  <c r="J118" i="3"/>
  <c r="I118" i="3" s="1"/>
  <c r="H118" i="3"/>
  <c r="J115" i="3"/>
  <c r="I115" i="3" s="1"/>
  <c r="H115" i="3"/>
  <c r="J113" i="3"/>
  <c r="I113" i="3" s="1"/>
  <c r="H113" i="3"/>
  <c r="J112" i="3"/>
  <c r="H112" i="3"/>
  <c r="J111" i="3"/>
  <c r="H111" i="3"/>
  <c r="J110" i="3"/>
  <c r="H110" i="3"/>
  <c r="J109" i="3"/>
  <c r="H109" i="3"/>
  <c r="J108" i="3"/>
  <c r="H108" i="3"/>
  <c r="J107" i="3"/>
  <c r="I107" i="3" s="1"/>
  <c r="H107" i="3"/>
  <c r="J106" i="3"/>
  <c r="H106" i="3"/>
  <c r="J105" i="3"/>
  <c r="I105" i="3" s="1"/>
  <c r="H105" i="3"/>
  <c r="J104" i="3"/>
  <c r="I104" i="3"/>
  <c r="H104" i="3"/>
  <c r="J103" i="3"/>
  <c r="H103" i="3"/>
  <c r="J102" i="3"/>
  <c r="I102" i="3" s="1"/>
  <c r="G102" i="3" s="1"/>
  <c r="F102" i="3" s="1"/>
  <c r="H102" i="3"/>
  <c r="J101" i="3"/>
  <c r="H101" i="3"/>
  <c r="J100" i="3"/>
  <c r="I100" i="3" s="1"/>
  <c r="H100" i="3"/>
  <c r="J98" i="3"/>
  <c r="I98" i="3" s="1"/>
  <c r="H98" i="3"/>
  <c r="J97" i="3"/>
  <c r="I97" i="3" s="1"/>
  <c r="H97" i="3"/>
  <c r="J96" i="3"/>
  <c r="H96" i="3"/>
  <c r="J95" i="3"/>
  <c r="H95" i="3"/>
  <c r="J94" i="3"/>
  <c r="I94" i="3" s="1"/>
  <c r="H94" i="3"/>
  <c r="J93" i="3"/>
  <c r="I93" i="3" s="1"/>
  <c r="H93" i="3"/>
  <c r="J92" i="3"/>
  <c r="I92" i="3"/>
  <c r="H92" i="3"/>
  <c r="J91" i="3"/>
  <c r="I91" i="3" s="1"/>
  <c r="H91" i="3"/>
  <c r="J90" i="3"/>
  <c r="I90" i="3" s="1"/>
  <c r="H90" i="3"/>
  <c r="J89" i="3"/>
  <c r="I89" i="3" s="1"/>
  <c r="H89" i="3"/>
  <c r="J86" i="3"/>
  <c r="I86" i="3" s="1"/>
  <c r="H86" i="3"/>
  <c r="J85" i="3"/>
  <c r="I85" i="3" s="1"/>
  <c r="H85" i="3"/>
  <c r="J83" i="3"/>
  <c r="I83" i="3" s="1"/>
  <c r="H83" i="3"/>
  <c r="J82" i="3"/>
  <c r="H82" i="3"/>
  <c r="J81" i="3"/>
  <c r="I81" i="3" s="1"/>
  <c r="H81" i="3"/>
  <c r="J78" i="3"/>
  <c r="H78" i="3"/>
  <c r="J77" i="3"/>
  <c r="I77" i="3" s="1"/>
  <c r="H77" i="3"/>
  <c r="J76" i="3"/>
  <c r="I76" i="3" s="1"/>
  <c r="H76" i="3"/>
  <c r="J75" i="3"/>
  <c r="I75" i="3" s="1"/>
  <c r="H75" i="3"/>
  <c r="J74" i="3"/>
  <c r="H74" i="3"/>
  <c r="J73" i="3"/>
  <c r="I73" i="3" s="1"/>
  <c r="H73" i="3"/>
  <c r="J72" i="3"/>
  <c r="I72" i="3" s="1"/>
  <c r="H72" i="3"/>
  <c r="J70" i="3"/>
  <c r="I70" i="3" s="1"/>
  <c r="H70" i="3"/>
  <c r="J69" i="3"/>
  <c r="H69" i="3"/>
  <c r="J67" i="3"/>
  <c r="I67" i="3" s="1"/>
  <c r="H67" i="3"/>
  <c r="J66" i="3"/>
  <c r="I66" i="3" s="1"/>
  <c r="H66" i="3"/>
  <c r="J65" i="3"/>
  <c r="I65" i="3" s="1"/>
  <c r="H65" i="3"/>
  <c r="J64" i="3"/>
  <c r="H64" i="3"/>
  <c r="J63" i="3"/>
  <c r="H63" i="3"/>
  <c r="J62" i="3"/>
  <c r="H62" i="3"/>
  <c r="J61" i="3"/>
  <c r="H61" i="3"/>
  <c r="H31" i="3"/>
  <c r="J31" i="3"/>
  <c r="H32" i="3"/>
  <c r="J32" i="3"/>
  <c r="I32" i="3" s="1"/>
  <c r="H33" i="3"/>
  <c r="J33" i="3"/>
  <c r="I33" i="3" s="1"/>
  <c r="H34" i="3"/>
  <c r="J34" i="3"/>
  <c r="I34" i="3" s="1"/>
  <c r="H35" i="3"/>
  <c r="J35" i="3"/>
  <c r="H36" i="3"/>
  <c r="J36" i="3"/>
  <c r="I36" i="3" s="1"/>
  <c r="H37" i="3"/>
  <c r="J37" i="3"/>
  <c r="I37" i="3" s="1"/>
  <c r="H38" i="3"/>
  <c r="J38" i="3"/>
  <c r="I38" i="3" s="1"/>
  <c r="H39" i="3"/>
  <c r="J39" i="3"/>
  <c r="I39" i="3" s="1"/>
  <c r="H40" i="3"/>
  <c r="J40" i="3"/>
  <c r="I40" i="3" s="1"/>
  <c r="H41" i="3"/>
  <c r="J41" i="3"/>
  <c r="H42" i="3"/>
  <c r="J42" i="3"/>
  <c r="I42" i="3" s="1"/>
  <c r="H43" i="3"/>
  <c r="J43" i="3"/>
  <c r="I43" i="3" s="1"/>
  <c r="G43" i="3" s="1"/>
  <c r="F43" i="3" s="1"/>
  <c r="H44" i="3"/>
  <c r="J44" i="3"/>
  <c r="I44" i="3" s="1"/>
  <c r="H45" i="3"/>
  <c r="J45" i="3"/>
  <c r="H46" i="3"/>
  <c r="J46" i="3"/>
  <c r="I46" i="3" s="1"/>
  <c r="H47" i="3"/>
  <c r="J47" i="3"/>
  <c r="I47" i="3" s="1"/>
  <c r="H48" i="3"/>
  <c r="J48" i="3"/>
  <c r="I48" i="3" s="1"/>
  <c r="H49" i="3"/>
  <c r="J49" i="3"/>
  <c r="H50" i="3"/>
  <c r="J50" i="3"/>
  <c r="I50" i="3" s="1"/>
  <c r="H51" i="3"/>
  <c r="J51" i="3"/>
  <c r="I51" i="3" s="1"/>
  <c r="H52" i="3"/>
  <c r="J52" i="3"/>
  <c r="I52" i="3" s="1"/>
  <c r="H53" i="3"/>
  <c r="J53" i="3"/>
  <c r="H54" i="3"/>
  <c r="J54" i="3"/>
  <c r="I54" i="3" s="1"/>
  <c r="H55" i="3"/>
  <c r="J55" i="3"/>
  <c r="I55" i="3" s="1"/>
  <c r="H56" i="3"/>
  <c r="J56" i="3"/>
  <c r="I56" i="3" s="1"/>
  <c r="H57" i="3"/>
  <c r="J57" i="3"/>
  <c r="H58" i="3"/>
  <c r="J58" i="3"/>
  <c r="I58" i="3" s="1"/>
  <c r="H59" i="3"/>
  <c r="J59" i="3"/>
  <c r="I59" i="3" s="1"/>
  <c r="J30" i="3"/>
  <c r="I30" i="3" s="1"/>
  <c r="H30" i="3"/>
  <c r="H9" i="3"/>
  <c r="J9" i="3"/>
  <c r="H10" i="3"/>
  <c r="J10" i="3"/>
  <c r="I10" i="3" s="1"/>
  <c r="H11" i="3"/>
  <c r="J11" i="3"/>
  <c r="I11" i="3" s="1"/>
  <c r="H12" i="3"/>
  <c r="J12" i="3"/>
  <c r="H13" i="3"/>
  <c r="J13" i="3"/>
  <c r="H14" i="3"/>
  <c r="J14" i="3"/>
  <c r="I14" i="3" s="1"/>
  <c r="H15" i="3"/>
  <c r="J15" i="3"/>
  <c r="H16" i="3"/>
  <c r="J16" i="3"/>
  <c r="H17" i="3"/>
  <c r="J17" i="3"/>
  <c r="H18" i="3"/>
  <c r="J18" i="3"/>
  <c r="I18" i="3" s="1"/>
  <c r="H19" i="3"/>
  <c r="J19" i="3"/>
  <c r="I19" i="3" s="1"/>
  <c r="H20" i="3"/>
  <c r="J20" i="3"/>
  <c r="H21" i="3"/>
  <c r="J21" i="3"/>
  <c r="H22" i="3"/>
  <c r="J22" i="3"/>
  <c r="I22" i="3" s="1"/>
  <c r="H23" i="3"/>
  <c r="J23" i="3"/>
  <c r="H24" i="3"/>
  <c r="J24" i="3"/>
  <c r="H25" i="3"/>
  <c r="J25" i="3"/>
  <c r="H26" i="3"/>
  <c r="J26" i="3"/>
  <c r="I26" i="3" s="1"/>
  <c r="H27" i="3"/>
  <c r="J27" i="3"/>
  <c r="I27" i="3" s="1"/>
  <c r="H28" i="3"/>
  <c r="J28" i="3"/>
  <c r="H8" i="3"/>
  <c r="J8" i="3"/>
  <c r="I8" i="3" s="1"/>
  <c r="A72" i="10" l="1"/>
  <c r="A82" i="10"/>
  <c r="A73" i="10"/>
  <c r="A78" i="10"/>
  <c r="A87" i="10"/>
  <c r="A83" i="10"/>
  <c r="A77" i="10"/>
  <c r="A76" i="10"/>
  <c r="A80" i="10"/>
  <c r="A79" i="10"/>
  <c r="A84" i="10"/>
  <c r="A81" i="10"/>
  <c r="A86" i="10"/>
  <c r="A75" i="10"/>
  <c r="A74" i="10"/>
  <c r="A46" i="10"/>
  <c r="A44" i="10"/>
  <c r="A18" i="10"/>
  <c r="A47" i="10"/>
  <c r="A27" i="10"/>
  <c r="A19" i="10"/>
  <c r="A31" i="10"/>
  <c r="A30" i="10"/>
  <c r="A45" i="10"/>
  <c r="A20" i="10"/>
  <c r="A35" i="10"/>
  <c r="A22" i="10"/>
  <c r="A40" i="10"/>
  <c r="A10" i="10"/>
  <c r="A8" i="10"/>
  <c r="A4" i="10"/>
  <c r="A52" i="10"/>
  <c r="A39" i="10"/>
  <c r="A34" i="10"/>
  <c r="A28" i="10"/>
  <c r="A7" i="10"/>
  <c r="A11" i="10"/>
  <c r="A26" i="10"/>
  <c r="A29" i="10"/>
  <c r="A21" i="10"/>
  <c r="A38" i="10"/>
  <c r="A5" i="10"/>
  <c r="A9" i="10"/>
  <c r="A41" i="10"/>
  <c r="A36" i="10"/>
  <c r="A43" i="10"/>
  <c r="A37" i="10"/>
  <c r="A6" i="10"/>
  <c r="A17" i="10"/>
  <c r="J17" i="12"/>
  <c r="J15" i="12"/>
  <c r="J10" i="12"/>
  <c r="J12" i="12"/>
  <c r="I22" i="12"/>
  <c r="I23" i="12" s="1"/>
  <c r="J14" i="12"/>
  <c r="D22" i="12"/>
  <c r="D25" i="12" s="1"/>
  <c r="J19" i="12"/>
  <c r="E22" i="12"/>
  <c r="E25" i="12" s="1"/>
  <c r="J16" i="12"/>
  <c r="J5" i="12"/>
  <c r="F22" i="12"/>
  <c r="F23" i="12" s="1"/>
  <c r="H22" i="12"/>
  <c r="H24" i="12" s="1"/>
  <c r="J22" i="12"/>
  <c r="J23" i="12" s="1"/>
  <c r="J9" i="12"/>
  <c r="C22" i="12"/>
  <c r="C25" i="12" s="1"/>
  <c r="G22" i="12"/>
  <c r="G25" i="12" s="1"/>
  <c r="I10" i="12"/>
  <c r="H10" i="12"/>
  <c r="G18" i="12"/>
  <c r="F16" i="12"/>
  <c r="E10" i="12"/>
  <c r="I19" i="12"/>
  <c r="H16" i="12"/>
  <c r="I16" i="12"/>
  <c r="D16" i="12"/>
  <c r="I17" i="12"/>
  <c r="G16" i="12"/>
  <c r="H9" i="12"/>
  <c r="F12" i="12"/>
  <c r="G10" i="12"/>
  <c r="D7" i="12"/>
  <c r="F19" i="12"/>
  <c r="E6" i="12"/>
  <c r="E15" i="12"/>
  <c r="I18" i="12"/>
  <c r="D19" i="12"/>
  <c r="F11" i="12"/>
  <c r="E19" i="12"/>
  <c r="H19" i="12"/>
  <c r="D15" i="12"/>
  <c r="E12" i="12"/>
  <c r="D10" i="12"/>
  <c r="H14" i="12"/>
  <c r="F15" i="12"/>
  <c r="G15" i="12"/>
  <c r="D12" i="12"/>
  <c r="E8" i="12"/>
  <c r="D11" i="12"/>
  <c r="G12" i="12"/>
  <c r="E11" i="12"/>
  <c r="D4" i="12"/>
  <c r="G6" i="12"/>
  <c r="H17" i="12"/>
  <c r="H6" i="12"/>
  <c r="I15" i="12"/>
  <c r="E4" i="12"/>
  <c r="D14" i="12"/>
  <c r="H7" i="12"/>
  <c r="D5" i="12"/>
  <c r="G17" i="12"/>
  <c r="H5" i="12"/>
  <c r="E7" i="12"/>
  <c r="G8" i="12"/>
  <c r="F5" i="12"/>
  <c r="F14" i="12"/>
  <c r="G7" i="12"/>
  <c r="H4" i="12"/>
  <c r="F4" i="12"/>
  <c r="D8" i="12"/>
  <c r="H8" i="12"/>
  <c r="E5" i="12"/>
  <c r="G5" i="12"/>
  <c r="G19" i="12"/>
  <c r="I5" i="12"/>
  <c r="F9" i="12"/>
  <c r="H15" i="12"/>
  <c r="G14" i="12"/>
  <c r="G9" i="12"/>
  <c r="D6" i="12"/>
  <c r="I8" i="12"/>
  <c r="I14" i="12"/>
  <c r="G129" i="3"/>
  <c r="F129" i="3" s="1"/>
  <c r="I109" i="3"/>
  <c r="G109" i="3" s="1"/>
  <c r="F109" i="3" s="1"/>
  <c r="G14" i="3"/>
  <c r="F14" i="3" s="1"/>
  <c r="G93" i="3"/>
  <c r="F93" i="3" s="1"/>
  <c r="G91" i="3"/>
  <c r="F91" i="3" s="1"/>
  <c r="G22" i="3"/>
  <c r="F22" i="3" s="1"/>
  <c r="G156" i="3"/>
  <c r="F156" i="3" s="1"/>
  <c r="G154" i="3"/>
  <c r="F154" i="3" s="1"/>
  <c r="G153" i="3"/>
  <c r="F153" i="3" s="1"/>
  <c r="G151" i="3"/>
  <c r="F151" i="3" s="1"/>
  <c r="G143" i="3"/>
  <c r="F143" i="3" s="1"/>
  <c r="G142" i="3"/>
  <c r="F142" i="3" s="1"/>
  <c r="G140" i="3"/>
  <c r="F140" i="3" s="1"/>
  <c r="G139" i="3"/>
  <c r="F139" i="3" s="1"/>
  <c r="G137" i="3"/>
  <c r="F137" i="3" s="1"/>
  <c r="G133" i="3"/>
  <c r="F133" i="3" s="1"/>
  <c r="I132" i="3"/>
  <c r="G132" i="3" s="1"/>
  <c r="F132" i="3" s="1"/>
  <c r="G130" i="3"/>
  <c r="F130" i="3" s="1"/>
  <c r="G128" i="3"/>
  <c r="F128" i="3" s="1"/>
  <c r="G126" i="3"/>
  <c r="F126" i="3" s="1"/>
  <c r="G124" i="3"/>
  <c r="F124" i="3" s="1"/>
  <c r="G123" i="3"/>
  <c r="F123" i="3" s="1"/>
  <c r="G122" i="3"/>
  <c r="F122" i="3" s="1"/>
  <c r="G121" i="3"/>
  <c r="F121" i="3" s="1"/>
  <c r="G118" i="3"/>
  <c r="F118" i="3" s="1"/>
  <c r="G115" i="3"/>
  <c r="F115" i="3" s="1"/>
  <c r="G113" i="3"/>
  <c r="F113" i="3" s="1"/>
  <c r="G107" i="3"/>
  <c r="F107" i="3" s="1"/>
  <c r="G104" i="3"/>
  <c r="F104" i="3" s="1"/>
  <c r="G100" i="3"/>
  <c r="F100" i="3" s="1"/>
  <c r="G85" i="3"/>
  <c r="F85" i="3" s="1"/>
  <c r="G86" i="3"/>
  <c r="F86" i="3" s="1"/>
  <c r="G98" i="3"/>
  <c r="F98" i="3" s="1"/>
  <c r="G97" i="3"/>
  <c r="F97" i="3" s="1"/>
  <c r="G94" i="3"/>
  <c r="F94" i="3" s="1"/>
  <c r="G92" i="3"/>
  <c r="F92" i="3" s="1"/>
  <c r="G90" i="3"/>
  <c r="F90" i="3" s="1"/>
  <c r="G89" i="3"/>
  <c r="F89" i="3" s="1"/>
  <c r="G83" i="3"/>
  <c r="F83" i="3" s="1"/>
  <c r="I82" i="3"/>
  <c r="G82" i="3" s="1"/>
  <c r="F82" i="3" s="1"/>
  <c r="G77" i="3"/>
  <c r="F77" i="3" s="1"/>
  <c r="G75" i="3"/>
  <c r="F75" i="3" s="1"/>
  <c r="G73" i="3"/>
  <c r="F73" i="3" s="1"/>
  <c r="G70" i="3"/>
  <c r="F70" i="3" s="1"/>
  <c r="I69" i="3"/>
  <c r="G69" i="3" s="1"/>
  <c r="F69" i="3" s="1"/>
  <c r="G67" i="3"/>
  <c r="F67" i="3" s="1"/>
  <c r="G66" i="3"/>
  <c r="F66" i="3" s="1"/>
  <c r="I62" i="3"/>
  <c r="G62" i="3" s="1"/>
  <c r="F62" i="3" s="1"/>
  <c r="G59" i="3"/>
  <c r="F59" i="3" s="1"/>
  <c r="G55" i="3"/>
  <c r="F55" i="3" s="1"/>
  <c r="G51" i="3"/>
  <c r="F51" i="3" s="1"/>
  <c r="G47" i="3"/>
  <c r="F47" i="3" s="1"/>
  <c r="G44" i="3"/>
  <c r="F44" i="3" s="1"/>
  <c r="G155" i="3"/>
  <c r="F155" i="3" s="1"/>
  <c r="G149" i="3"/>
  <c r="F149" i="3" s="1"/>
  <c r="I148" i="3"/>
  <c r="G148" i="3" s="1"/>
  <c r="F148" i="3" s="1"/>
  <c r="G146" i="3"/>
  <c r="F146" i="3" s="1"/>
  <c r="I145" i="3"/>
  <c r="G145" i="3" s="1"/>
  <c r="F145" i="3" s="1"/>
  <c r="G141" i="3"/>
  <c r="F141" i="3" s="1"/>
  <c r="G138" i="3"/>
  <c r="F138" i="3" s="1"/>
  <c r="G136" i="3"/>
  <c r="F136" i="3" s="1"/>
  <c r="G135" i="3"/>
  <c r="F135" i="3" s="1"/>
  <c r="I134" i="3"/>
  <c r="G134" i="3" s="1"/>
  <c r="F134" i="3" s="1"/>
  <c r="G127" i="3"/>
  <c r="F127" i="3" s="1"/>
  <c r="G125" i="3"/>
  <c r="F125" i="3" s="1"/>
  <c r="G120" i="3"/>
  <c r="F120" i="3" s="1"/>
  <c r="I119" i="3"/>
  <c r="G119" i="3" s="1"/>
  <c r="F119" i="3" s="1"/>
  <c r="I112" i="3"/>
  <c r="G112" i="3" s="1"/>
  <c r="F112" i="3" s="1"/>
  <c r="I111" i="3"/>
  <c r="G111" i="3" s="1"/>
  <c r="F111" i="3" s="1"/>
  <c r="I110" i="3"/>
  <c r="G110" i="3" s="1"/>
  <c r="F110" i="3" s="1"/>
  <c r="I108" i="3"/>
  <c r="G108" i="3" s="1"/>
  <c r="F108" i="3" s="1"/>
  <c r="I106" i="3"/>
  <c r="G106" i="3" s="1"/>
  <c r="F106" i="3" s="1"/>
  <c r="G105" i="3"/>
  <c r="F105" i="3" s="1"/>
  <c r="I103" i="3"/>
  <c r="G103" i="3" s="1"/>
  <c r="F103" i="3" s="1"/>
  <c r="I101" i="3"/>
  <c r="G101" i="3" s="1"/>
  <c r="F101" i="3" s="1"/>
  <c r="I96" i="3"/>
  <c r="G96" i="3" s="1"/>
  <c r="F96" i="3" s="1"/>
  <c r="I95" i="3"/>
  <c r="G95" i="3" s="1"/>
  <c r="F95" i="3" s="1"/>
  <c r="G81" i="3"/>
  <c r="F81" i="3" s="1"/>
  <c r="I78" i="3"/>
  <c r="G78" i="3" s="1"/>
  <c r="F78" i="3" s="1"/>
  <c r="G76" i="3"/>
  <c r="F76" i="3" s="1"/>
  <c r="I74" i="3"/>
  <c r="G74" i="3" s="1"/>
  <c r="F74" i="3" s="1"/>
  <c r="G72" i="3"/>
  <c r="F72" i="3" s="1"/>
  <c r="G65" i="3"/>
  <c r="F65" i="3" s="1"/>
  <c r="I64" i="3"/>
  <c r="G64" i="3" s="1"/>
  <c r="F64" i="3" s="1"/>
  <c r="I63" i="3"/>
  <c r="G63" i="3" s="1"/>
  <c r="F63" i="3" s="1"/>
  <c r="I61" i="3"/>
  <c r="G61" i="3" s="1"/>
  <c r="F61" i="3" s="1"/>
  <c r="G58" i="3"/>
  <c r="F58" i="3" s="1"/>
  <c r="G54" i="3"/>
  <c r="F54" i="3" s="1"/>
  <c r="G52" i="3"/>
  <c r="F52" i="3" s="1"/>
  <c r="G50" i="3"/>
  <c r="F50" i="3" s="1"/>
  <c r="G26" i="3"/>
  <c r="F26" i="3" s="1"/>
  <c r="G18" i="3"/>
  <c r="F18" i="3" s="1"/>
  <c r="G56" i="3"/>
  <c r="F56" i="3" s="1"/>
  <c r="G48" i="3"/>
  <c r="F48" i="3" s="1"/>
  <c r="G42" i="3"/>
  <c r="F42" i="3" s="1"/>
  <c r="G40" i="3"/>
  <c r="F40" i="3" s="1"/>
  <c r="G46" i="3"/>
  <c r="F46" i="3" s="1"/>
  <c r="G39" i="3"/>
  <c r="F39" i="3" s="1"/>
  <c r="G38" i="3"/>
  <c r="F38" i="3" s="1"/>
  <c r="G36" i="3"/>
  <c r="F36" i="3" s="1"/>
  <c r="G34" i="3"/>
  <c r="F34" i="3" s="1"/>
  <c r="G33" i="3"/>
  <c r="F33" i="3" s="1"/>
  <c r="G32" i="3"/>
  <c r="F32" i="3" s="1"/>
  <c r="I31" i="3"/>
  <c r="G31" i="3" s="1"/>
  <c r="F31" i="3" s="1"/>
  <c r="I57" i="3"/>
  <c r="G57" i="3" s="1"/>
  <c r="F57" i="3" s="1"/>
  <c r="I53" i="3"/>
  <c r="G53" i="3" s="1"/>
  <c r="F53" i="3" s="1"/>
  <c r="I49" i="3"/>
  <c r="G49" i="3" s="1"/>
  <c r="F49" i="3" s="1"/>
  <c r="I45" i="3"/>
  <c r="G45" i="3" s="1"/>
  <c r="F45" i="3" s="1"/>
  <c r="I41" i="3"/>
  <c r="G41" i="3" s="1"/>
  <c r="F41" i="3" s="1"/>
  <c r="G37" i="3"/>
  <c r="F37" i="3" s="1"/>
  <c r="I35" i="3"/>
  <c r="G35" i="3" s="1"/>
  <c r="F35" i="3" s="1"/>
  <c r="G30" i="3"/>
  <c r="F30" i="3" s="1"/>
  <c r="G11" i="3"/>
  <c r="F11" i="3" s="1"/>
  <c r="G10" i="3"/>
  <c r="F10" i="3" s="1"/>
  <c r="G8" i="3"/>
  <c r="F8" i="3" s="1"/>
  <c r="I12" i="3"/>
  <c r="G12" i="3" s="1"/>
  <c r="F12" i="3" s="1"/>
  <c r="I28" i="3"/>
  <c r="G28" i="3" s="1"/>
  <c r="F28" i="3" s="1"/>
  <c r="I24" i="3"/>
  <c r="G24" i="3" s="1"/>
  <c r="F24" i="3" s="1"/>
  <c r="I20" i="3"/>
  <c r="G20" i="3" s="1"/>
  <c r="F20" i="3" s="1"/>
  <c r="I16" i="3"/>
  <c r="G16" i="3" s="1"/>
  <c r="F16" i="3" s="1"/>
  <c r="I23" i="3"/>
  <c r="G23" i="3" s="1"/>
  <c r="F23" i="3" s="1"/>
  <c r="I15" i="3"/>
  <c r="G15" i="3" s="1"/>
  <c r="F15" i="3" s="1"/>
  <c r="G27" i="3"/>
  <c r="F27" i="3" s="1"/>
  <c r="G19" i="3"/>
  <c r="F19" i="3" s="1"/>
  <c r="I25" i="3"/>
  <c r="G25" i="3" s="1"/>
  <c r="F25" i="3" s="1"/>
  <c r="I21" i="3"/>
  <c r="G21" i="3" s="1"/>
  <c r="F21" i="3" s="1"/>
  <c r="I17" i="3"/>
  <c r="G17" i="3" s="1"/>
  <c r="F17" i="3" s="1"/>
  <c r="I13" i="3"/>
  <c r="G13" i="3" s="1"/>
  <c r="F13" i="3" s="1"/>
  <c r="I9" i="3"/>
  <c r="G9" i="3" s="1"/>
  <c r="F9" i="3" s="1"/>
  <c r="I24" i="12" l="1"/>
  <c r="D23" i="12"/>
  <c r="D24" i="12"/>
  <c r="E23" i="12"/>
  <c r="E24" i="12"/>
  <c r="I25" i="12"/>
  <c r="H25" i="12"/>
  <c r="F25" i="12"/>
  <c r="H23" i="12"/>
  <c r="J24" i="12"/>
  <c r="F24" i="12"/>
  <c r="J25" i="12"/>
  <c r="C23" i="12"/>
  <c r="G24" i="12"/>
  <c r="C24" i="12"/>
  <c r="G2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tc={3EEBAF7D-86EF-48B8-A182-40BA9E9211C4}</author>
    <author>tc={32D5A4BF-A570-44E5-8D0F-F07B1D7291D5}</author>
    <author>tc={1F22BBF8-C51C-4702-BB0F-64283802FE21}</author>
  </authors>
  <commentList>
    <comment ref="L1" authorId="0" shapeId="0" xr:uid="{3EEBAF7D-86EF-48B8-A182-40BA9E9211C4}">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only accessible from the local system.</t>
      </text>
    </comment>
    <comment ref="L2" authorId="1" shapeId="0" xr:uid="{32D5A4BF-A570-44E5-8D0F-F07B1D7291D5}">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only accessible from within the kubernetes cluster.</t>
      </text>
    </comment>
    <comment ref="L3" authorId="2" shapeId="0" xr:uid="{1F22BBF8-C51C-4702-BB0F-64283802FE21}">
      <text>
        <t>[Threaded comment]
Your version of Excel allows you to read this threaded comment; however, any edits to it will get removed if the file is opened in a newer version of Excel. Learn more: https://go.microsoft.com/fwlink/?linkid=870924
Comment:
    The element affected by the specified control is accessible a larger network/the internet.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<sst xmlns="http://schemas.openxmlformats.org/spreadsheetml/2006/main" count="2268" uniqueCount="1331">
  <si>
    <t>https://cheatsheetseries.owasp.org/cheatsheets/Kubernetes_Security_Cheat_Sheet.html</t>
  </si>
  <si>
    <t>BSI</t>
  </si>
  <si>
    <t>Control Plane</t>
  </si>
  <si>
    <t>API Server</t>
  </si>
  <si>
    <t>Master Node</t>
  </si>
  <si>
    <t>Logging</t>
  </si>
  <si>
    <t>Worker Nodes</t>
  </si>
  <si>
    <t>Kubelet</t>
  </si>
  <si>
    <t>Workload</t>
  </si>
  <si>
    <t>Description</t>
  </si>
  <si>
    <t>OWASP</t>
  </si>
  <si>
    <t>Authorization</t>
  </si>
  <si>
    <t>1.1.1</t>
  </si>
  <si>
    <t>1.1.2</t>
  </si>
  <si>
    <t>1.1.3</t>
  </si>
  <si>
    <t>1.1.4</t>
  </si>
  <si>
    <t>1.1.5</t>
  </si>
  <si>
    <t>1.1.6</t>
  </si>
  <si>
    <t>1.1.7</t>
  </si>
  <si>
    <t>1.1.8</t>
  </si>
  <si>
    <t>1.1.11</t>
  </si>
  <si>
    <t>1.1.12</t>
  </si>
  <si>
    <t>1.1.13</t>
  </si>
  <si>
    <t>1.1.14</t>
  </si>
  <si>
    <t>1.1.15</t>
  </si>
  <si>
    <t>1.1.16</t>
  </si>
  <si>
    <t>1.1.17</t>
  </si>
  <si>
    <t>1.1.18</t>
  </si>
  <si>
    <t>1.1.19</t>
  </si>
  <si>
    <t>The root certificate is protected (either an offline CA, or a managed online CA with effective access controls).</t>
  </si>
  <si>
    <t>Authentication &amp; Authorization</t>
  </si>
  <si>
    <t>Intermediate and leaf certificates have an expiry date no more than 3 years in the future.</t>
  </si>
  <si>
    <t>Role-based access control</t>
  </si>
  <si>
    <t>Kubernetes native audit logging configuration</t>
  </si>
  <si>
    <t>3.2.1</t>
  </si>
  <si>
    <t>Authentication</t>
  </si>
  <si>
    <t>MS-M9021</t>
  </si>
  <si>
    <t>1.2.19</t>
  </si>
  <si>
    <t>Control plane hardening</t>
  </si>
  <si>
    <t>1.2.2</t>
  </si>
  <si>
    <t>1.2.9</t>
  </si>
  <si>
    <t>1.2.10</t>
  </si>
  <si>
    <t>1.2.11</t>
  </si>
  <si>
    <t>1.2.12</t>
  </si>
  <si>
    <t>1.2.13</t>
  </si>
  <si>
    <t>1.2.14</t>
  </si>
  <si>
    <t>1.2.15</t>
  </si>
  <si>
    <t>MS-M9027</t>
  </si>
  <si>
    <t>1.2.16</t>
  </si>
  <si>
    <t>1.2.17</t>
  </si>
  <si>
    <t>1.2.18</t>
  </si>
  <si>
    <t>1.2.20</t>
  </si>
  <si>
    <t>1.2.21</t>
  </si>
  <si>
    <t>1.2.22</t>
  </si>
  <si>
    <t>1.2.23</t>
  </si>
  <si>
    <t>1.2.25</t>
  </si>
  <si>
    <t>1.2.26</t>
  </si>
  <si>
    <t>1.2.30</t>
  </si>
  <si>
    <t>MS-M9024</t>
  </si>
  <si>
    <t>Restrict access to etcd</t>
  </si>
  <si>
    <t>1.2.24</t>
  </si>
  <si>
    <t>1.2.27</t>
  </si>
  <si>
    <t>1.2.29</t>
  </si>
  <si>
    <t>Controller Manager</t>
  </si>
  <si>
    <t>Ensure that the --use-service-account-credentials argument is set to true</t>
  </si>
  <si>
    <t>1.3.3</t>
  </si>
  <si>
    <t>Scheduler</t>
  </si>
  <si>
    <t>Worker Node</t>
  </si>
  <si>
    <t>Kubernetes Worker Nodes must not have sshd service running.</t>
  </si>
  <si>
    <t>Workload Security</t>
  </si>
  <si>
    <t>MS-M9032</t>
  </si>
  <si>
    <t>MS-M9010</t>
  </si>
  <si>
    <t>RBAC</t>
  </si>
  <si>
    <t>RBAC-001</t>
  </si>
  <si>
    <t>MS-M9003</t>
  </si>
  <si>
    <t>RBAC-002</t>
  </si>
  <si>
    <t>RBAC-003</t>
  </si>
  <si>
    <t>RBAC-004</t>
  </si>
  <si>
    <t>Pod Security</t>
  </si>
  <si>
    <t>RBAC-005</t>
  </si>
  <si>
    <t>RBAC-006</t>
  </si>
  <si>
    <t>RBAC-007</t>
  </si>
  <si>
    <t>RBAC-008</t>
  </si>
  <si>
    <t>RBAC-009</t>
  </si>
  <si>
    <t>RBAC-010</t>
  </si>
  <si>
    <t>RBAC-012</t>
  </si>
  <si>
    <t>RBAC-013</t>
  </si>
  <si>
    <t>RBAC-014</t>
  </si>
  <si>
    <t>RBAC-015</t>
  </si>
  <si>
    <t>RBAC-016</t>
  </si>
  <si>
    <t>RBAC-017</t>
  </si>
  <si>
    <t>Avoid use of system:masters group</t>
  </si>
  <si>
    <t>RBAC-020</t>
  </si>
  <si>
    <t>RBAC-021</t>
  </si>
  <si>
    <t>RBAC-022</t>
  </si>
  <si>
    <t>Minimize access to the proxy sub-resource of nodes</t>
  </si>
  <si>
    <t>Minimize access to webhook configuration objects</t>
  </si>
  <si>
    <t>Minimize access to the service account token creation</t>
  </si>
  <si>
    <t>Secrets Management</t>
  </si>
  <si>
    <t>Secrets</t>
  </si>
  <si>
    <t>MS-M9022</t>
  </si>
  <si>
    <t>Alternatives to Kubernetes Secret resources</t>
  </si>
  <si>
    <t>Encryption at rest is configured for the Secret API.</t>
  </si>
  <si>
    <t>Encrypt secrets at rest</t>
  </si>
  <si>
    <t>MS-M9023</t>
  </si>
  <si>
    <t>WL-001</t>
  </si>
  <si>
    <t>Reliability</t>
  </si>
  <si>
    <t>REL-001</t>
  </si>
  <si>
    <t>REL-002</t>
  </si>
  <si>
    <t>REL-003</t>
  </si>
  <si>
    <t>REL-004</t>
  </si>
  <si>
    <t>POD-002</t>
  </si>
  <si>
    <t>Authentication and authorization</t>
  </si>
  <si>
    <t>POD-003</t>
  </si>
  <si>
    <t>Protecting Pod service account tokens</t>
  </si>
  <si>
    <t>MS-M9025</t>
  </si>
  <si>
    <t>POD-008</t>
  </si>
  <si>
    <t>POD-009</t>
  </si>
  <si>
    <t>POD-010</t>
  </si>
  <si>
    <t>POD-012</t>
  </si>
  <si>
    <t>POD-013</t>
  </si>
  <si>
    <t>POD-014</t>
  </si>
  <si>
    <t>MS-M9011</t>
  </si>
  <si>
    <t>POD-015</t>
  </si>
  <si>
    <t>POD-016</t>
  </si>
  <si>
    <t>POD-017</t>
  </si>
  <si>
    <t>Apply Security Context to Your Pods and Containers</t>
  </si>
  <si>
    <t>POD-018</t>
  </si>
  <si>
    <t>POD-019</t>
  </si>
  <si>
    <t>POD-021</t>
  </si>
  <si>
    <t>POD-022</t>
  </si>
  <si>
    <t>POD-023</t>
  </si>
  <si>
    <t>Seccomp: audit mode</t>
  </si>
  <si>
    <t>POD-024</t>
  </si>
  <si>
    <t>Images</t>
  </si>
  <si>
    <t>POD-025</t>
  </si>
  <si>
    <t>MS-M9026</t>
  </si>
  <si>
    <t>Finding exposed secrets</t>
  </si>
  <si>
    <t>MS-M9015</t>
  </si>
  <si>
    <t>POD-011</t>
  </si>
  <si>
    <t>SC-001</t>
  </si>
  <si>
    <t>SC-002</t>
  </si>
  <si>
    <t>POD-030</t>
  </si>
  <si>
    <t>POD-031</t>
  </si>
  <si>
    <t>POD-032</t>
  </si>
  <si>
    <t>POD-033</t>
  </si>
  <si>
    <t>Immutable container file systems</t>
  </si>
  <si>
    <t>POD-034</t>
  </si>
  <si>
    <t>POD-035</t>
  </si>
  <si>
    <t>POD-036</t>
  </si>
  <si>
    <t>RES-001</t>
  </si>
  <si>
    <t>MS-M9029</t>
  </si>
  <si>
    <t>RES-002</t>
  </si>
  <si>
    <t>RES-003</t>
  </si>
  <si>
    <t>RES-004</t>
  </si>
  <si>
    <t>RES-005</t>
  </si>
  <si>
    <t>RES-006</t>
  </si>
  <si>
    <t>POD-042</t>
  </si>
  <si>
    <t>MS-M9016</t>
  </si>
  <si>
    <t>POD-043</t>
  </si>
  <si>
    <t>POD-044</t>
  </si>
  <si>
    <t>POD-045</t>
  </si>
  <si>
    <t>ConfigMap</t>
  </si>
  <si>
    <t>CM-001</t>
  </si>
  <si>
    <t>Namespace</t>
  </si>
  <si>
    <t>NS-001</t>
  </si>
  <si>
    <t>NS-002</t>
  </si>
  <si>
    <t>Namespaces</t>
  </si>
  <si>
    <t>PS-001</t>
  </si>
  <si>
    <t>Appropriate Pod Security Standards policy is applied for all namespaces and enforced</t>
  </si>
  <si>
    <t>RES-007</t>
  </si>
  <si>
    <t>Resource policies</t>
  </si>
  <si>
    <t>Limiting resource usage on a cluster</t>
  </si>
  <si>
    <t>RES-008</t>
  </si>
  <si>
    <t>RES-009</t>
  </si>
  <si>
    <t>Policies</t>
  </si>
  <si>
    <t>MS-M9017</t>
  </si>
  <si>
    <t>MS-M9013</t>
  </si>
  <si>
    <t>5.2.6</t>
  </si>
  <si>
    <t>MS-M9014</t>
  </si>
  <si>
    <t>5.2.3</t>
  </si>
  <si>
    <t>5.2.4</t>
  </si>
  <si>
    <t>5.2.5</t>
  </si>
  <si>
    <t>MS-M9018</t>
  </si>
  <si>
    <t>5.2.7</t>
  </si>
  <si>
    <t>MS-M9019</t>
  </si>
  <si>
    <t>MS-M9020</t>
  </si>
  <si>
    <t>5.2.8</t>
  </si>
  <si>
    <t>5.2.9</t>
  </si>
  <si>
    <t>MS-M9028</t>
  </si>
  <si>
    <t>MS-M9005.003</t>
  </si>
  <si>
    <t>Network policies</t>
  </si>
  <si>
    <t>Network Security</t>
  </si>
  <si>
    <t>NP-001</t>
  </si>
  <si>
    <t>MS-M9007</t>
  </si>
  <si>
    <t>Use Kubernetes network policies to control traffic between pods and clusters</t>
  </si>
  <si>
    <t>NP-002</t>
  </si>
  <si>
    <t>NP-003</t>
  </si>
  <si>
    <t>Protecting sensitive cloud infrastructure</t>
  </si>
  <si>
    <t>NP-004</t>
  </si>
  <si>
    <t>NP-005</t>
  </si>
  <si>
    <t>Network separation and hardening</t>
  </si>
  <si>
    <t>MS-M9008</t>
  </si>
  <si>
    <t>Worker node and container logging</t>
  </si>
  <si>
    <t>Logs and auditing</t>
  </si>
  <si>
    <t>Allocate specific identities to pods</t>
  </si>
  <si>
    <t>Use cloud storage provider</t>
  </si>
  <si>
    <t>MS-M9030</t>
  </si>
  <si>
    <t>Implement data backup strategy</t>
  </si>
  <si>
    <t>MS-M9031</t>
  </si>
  <si>
    <t>Building secure container images</t>
  </si>
  <si>
    <t>MS-M9005.001</t>
  </si>
  <si>
    <t>MS-M9012</t>
  </si>
  <si>
    <t>MS-M9005.002</t>
  </si>
  <si>
    <t>1.2.6</t>
  </si>
  <si>
    <t>1.2.5</t>
  </si>
  <si>
    <t>1.2.28</t>
  </si>
  <si>
    <t>Microsoft Threat Matrix for Kubernetes</t>
  </si>
  <si>
    <t>Title</t>
  </si>
  <si>
    <t>CIS Kubernetes Benchmark</t>
  </si>
  <si>
    <t>Version</t>
  </si>
  <si>
    <t>Section</t>
  </si>
  <si>
    <t>Subsection</t>
  </si>
  <si>
    <t>Numbering</t>
  </si>
  <si>
    <t>Control Plane Components</t>
  </si>
  <si>
    <t>Control Plane Node Configuration Files</t>
  </si>
  <si>
    <t>Ensure that the API server pod specification file permissions are set to 600 or more restrictive</t>
  </si>
  <si>
    <t>Automated</t>
  </si>
  <si>
    <t>1.1.9</t>
  </si>
  <si>
    <t>1.1.10</t>
  </si>
  <si>
    <t>1.1.20</t>
  </si>
  <si>
    <t>1.1.21</t>
  </si>
  <si>
    <t>Ensure that the API server pod specification file ownership is set to root:root</t>
  </si>
  <si>
    <t>Ensure that the controller manager pod specification file permissions are set to 600 or more restrictive</t>
  </si>
  <si>
    <t>Ensure that the controller manager pod specification file ownership is set to root:root</t>
  </si>
  <si>
    <t>Ensure that the scheduler pod specification file permissions are set to 600 or more restrictive</t>
  </si>
  <si>
    <t>Ensure that the scheduler pod specification file ownership is set to root:root</t>
  </si>
  <si>
    <t>Ensure that the etcd pod specification file permissions are set to 600 or more restrictive</t>
  </si>
  <si>
    <t>Ensure that the etcd pod specification file ownership is set to root:root</t>
  </si>
  <si>
    <t>Ensure that the Container Network Interface file permissions are set to 600 or more restrictive</t>
  </si>
  <si>
    <t>Ensure that the Container Network Interface file ownership is set to root:root</t>
  </si>
  <si>
    <t>Ensure that the etcd data directory permissions are set to 700 or more restrictive</t>
  </si>
  <si>
    <t>Ensure that the etcd data directory ownership is set to etcd:etcd</t>
  </si>
  <si>
    <t>Ensure that the default administrative credential file permissions are set to 600</t>
  </si>
  <si>
    <t>Ensure that the default administrative credential file ownership is set to root:root</t>
  </si>
  <si>
    <t>Ensure that the scheduler.conf file permissions are set to 600 or more restrictive</t>
  </si>
  <si>
    <t>Ensure that the scheduler.conf file ownership is set to root:root</t>
  </si>
  <si>
    <t>Ensure that the controller-manager.conf file permissions are set to 600 or more restrictive</t>
  </si>
  <si>
    <t>Ensure that the controller-manager.conf file ownership is set to root:root</t>
  </si>
  <si>
    <t>Ensure that the Kubernetes PKI directory and file ownership is set to root:root</t>
  </si>
  <si>
    <t>Ensure that the Kubernetes PKI certificate file permissions are set to 644 or more restrictive</t>
  </si>
  <si>
    <t>Ensure that the Kubernetes PKI key file permissions are set to 600</t>
  </si>
  <si>
    <t>1.2.1</t>
  </si>
  <si>
    <t>1.2.3</t>
  </si>
  <si>
    <t>1.2.4</t>
  </si>
  <si>
    <t>1.2.7</t>
  </si>
  <si>
    <t>1.2.8</t>
  </si>
  <si>
    <t>Ensure that the --anonymous-auth argument is set to false</t>
  </si>
  <si>
    <t>Ensure that the --token-auth-file parameter is not set</t>
  </si>
  <si>
    <t>Ensure that the DenyServiceExternalIPs is set</t>
  </si>
  <si>
    <t>Ensure that the --kubelet-client-certificate and --kubelet-client-key arguments are set as appropriate</t>
  </si>
  <si>
    <t>Ensure that the --kubelet-certificate-authority argument is set as appropriate</t>
  </si>
  <si>
    <t>Ensure that the --authorization-mode argument is not set to AlwaysAllow</t>
  </si>
  <si>
    <t>Ensure that the --authorization-mode argument includes Node</t>
  </si>
  <si>
    <t>Ensure that the --authorization-mode argument includes RBAC</t>
  </si>
  <si>
    <t>Ensure that the admission control plugin EventRateLimit is set</t>
  </si>
  <si>
    <t>Ensure that the admission control plugin AlwaysAdmit is not set</t>
  </si>
  <si>
    <t>Ensure that the admission control plugin AlwaysPullImages is set</t>
  </si>
  <si>
    <t>Ensure that the admission control plugin ServiceAccount is set</t>
  </si>
  <si>
    <t>Ensure that the admission control plugin NamespaceLifecycle is set</t>
  </si>
  <si>
    <t>Ensure that the admission control plugin NodeRestriction is set</t>
  </si>
  <si>
    <t>Ensure that the --profiling argument is set to false</t>
  </si>
  <si>
    <t>Ensure that the --audit-log-path argument is set</t>
  </si>
  <si>
    <t>Ensure that the --audit-log-maxage argument is set to 30 or as appropriate</t>
  </si>
  <si>
    <t>Ensure that the --audit-log-maxbackup argument is set to 10 or as appropriate</t>
  </si>
  <si>
    <t>Ensure that the --audit-log-maxsize argument is set to 100 or as appropriate</t>
  </si>
  <si>
    <t>Ensure that the --request-timeout argument is set as appropriate</t>
  </si>
  <si>
    <t>Ensure that the --service-account-lookup argument is set to true</t>
  </si>
  <si>
    <t>Ensure that the --service-account-key-file argument is set as appropriate</t>
  </si>
  <si>
    <t>Ensure that the --etcd-certfile and --etcd-keyfile arguments are set as appropriate</t>
  </si>
  <si>
    <t>Ensure that the --tls-cert-file and --tls-private-key-file arguments are set as appropriate</t>
  </si>
  <si>
    <t>Ensure that the --client-ca-file argument is set as appropriate</t>
  </si>
  <si>
    <t>Ensure that the --etcd-cafile argument is set as appropriate</t>
  </si>
  <si>
    <t>Ensure that the --encryption-provider-config argument is set as appropriate</t>
  </si>
  <si>
    <t>Ensure that encryption providers are appropriately configured</t>
  </si>
  <si>
    <t>Ensure that the API Server only makes use of Strong Cryptographic Ciphers</t>
  </si>
  <si>
    <t>Ensure that the --service-account-extend-token-expiration parameter is set to false</t>
  </si>
  <si>
    <t>1.3.1</t>
  </si>
  <si>
    <t>1.3.2</t>
  </si>
  <si>
    <t>1.3.4</t>
  </si>
  <si>
    <t>1.3.5</t>
  </si>
  <si>
    <t>1.3.6</t>
  </si>
  <si>
    <t>1.3.7</t>
  </si>
  <si>
    <t>Ensure that the --terminated-pod-gc-threshold argument is set as appropriate</t>
  </si>
  <si>
    <t>Ensure that the --service-account-private-key-file argument is set as appropriate</t>
  </si>
  <si>
    <t>Ensure that the --root-ca-file argument is set as appropriate</t>
  </si>
  <si>
    <t>Ensure that the RotateKubeletServerCertificate argument is set to true</t>
  </si>
  <si>
    <t>Ensure that the --bind-address argument is set to 127.0.0.1</t>
  </si>
  <si>
    <t>1.4.1</t>
  </si>
  <si>
    <t>1.4.2</t>
  </si>
  <si>
    <t>etcd</t>
  </si>
  <si>
    <t>Ensure that the --cert-file and --key-file arguments are set as appropriate</t>
  </si>
  <si>
    <t>Ensure that the --client-cert-auth argument is set to true</t>
  </si>
  <si>
    <t>Ensure that the --auto-tls argument is not set to true</t>
  </si>
  <si>
    <t>Ensure that the --peer-cert-file and --peer-key-file arguments are set as appropriate</t>
  </si>
  <si>
    <t>Ensure that the --peer-client-cert-auth argument is set to true</t>
  </si>
  <si>
    <t>Ensure that the --peer-auto-tls argument is not set to true</t>
  </si>
  <si>
    <t>Ensure that a unique Certificate Authority is used for etcd</t>
  </si>
  <si>
    <t>Control Plane Configuration</t>
  </si>
  <si>
    <t>Authentication and Authorization</t>
  </si>
  <si>
    <t>3.1.1</t>
  </si>
  <si>
    <t>3.1.2</t>
  </si>
  <si>
    <t>3.1.3</t>
  </si>
  <si>
    <t>3.2.2</t>
  </si>
  <si>
    <t>Client certificate authentication should not be used for users</t>
  </si>
  <si>
    <t>Service account token authentication should not be used for users</t>
  </si>
  <si>
    <t>Bootstrap token authentication should not be used for users</t>
  </si>
  <si>
    <t>Ensure that a minimal audit policy is created</t>
  </si>
  <si>
    <t>Ensure that the audit policy covers key security concerns</t>
  </si>
  <si>
    <t>Worker Node Configuration Files</t>
  </si>
  <si>
    <t>4.1.1</t>
  </si>
  <si>
    <t>4.1.2</t>
  </si>
  <si>
    <t>4.1.3</t>
  </si>
  <si>
    <t>4.1.4</t>
  </si>
  <si>
    <t>4.1.5</t>
  </si>
  <si>
    <t>4.1.6</t>
  </si>
  <si>
    <t>4.1.7</t>
  </si>
  <si>
    <t>4.1.8</t>
  </si>
  <si>
    <t>4.1.9</t>
  </si>
  <si>
    <t>4.1.10</t>
  </si>
  <si>
    <t>Ensure that the kubelet service file permissions are set to 600 or more restrictive</t>
  </si>
  <si>
    <t>Ensure that the kubelet service file ownership is set to root:root</t>
  </si>
  <si>
    <t>If proxy kubeconfig file exists ensure permissions are set to 600 or more restrictive</t>
  </si>
  <si>
    <t>If proxy kubeconfig file exists ensure ownership is set to root:root</t>
  </si>
  <si>
    <t>Ensure that the --kubeconfig kubelet.conf file permissions are set to 600 or more restrictive</t>
  </si>
  <si>
    <t>Ensure that the --kubeconfig kubelet.conf file ownership is set to root:root</t>
  </si>
  <si>
    <t>Ensure that the certificate authorities file permissions are set to 644 or more restrictive</t>
  </si>
  <si>
    <t>Ensure that the client certificate authorities file ownership is set to root:root</t>
  </si>
  <si>
    <t>If the kubelet config.yaml configuration file is being used validate permissions set to 600 or more restrictive</t>
  </si>
  <si>
    <t>If the kubelet config.yaml configuration file is being used validate file ownership is set to root:root</t>
  </si>
  <si>
    <t>4.2.1</t>
  </si>
  <si>
    <t>4.2.2</t>
  </si>
  <si>
    <t>4.2.3</t>
  </si>
  <si>
    <t>4.2.4</t>
  </si>
  <si>
    <t>4.2.5</t>
  </si>
  <si>
    <t>4.2.6</t>
  </si>
  <si>
    <t>4.2.7</t>
  </si>
  <si>
    <t>4.2.8</t>
  </si>
  <si>
    <t>4.2.9</t>
  </si>
  <si>
    <t>4.2.10</t>
  </si>
  <si>
    <t>4.2.11</t>
  </si>
  <si>
    <t>4.2.12</t>
  </si>
  <si>
    <t>4.2.13</t>
  </si>
  <si>
    <t>4.2.14</t>
  </si>
  <si>
    <t>Verify that if defined, readOnlyPort is set to 0</t>
  </si>
  <si>
    <t>Ensure that the --streaming-connection-idle-timeout argument is not set to 0</t>
  </si>
  <si>
    <t>Ensure that the --make-iptables-util-chains argument is set to true</t>
  </si>
  <si>
    <t>Ensure that the --hostname-override argument is not set</t>
  </si>
  <si>
    <t>Ensure that the eventRecordQPS argument is set to a level which ensures appropriate event capture</t>
  </si>
  <si>
    <t>Ensure that the --rotate-certificates argument is not set to false</t>
  </si>
  <si>
    <t>Verify that the RotateKubeletServerCertificate argument is set to true</t>
  </si>
  <si>
    <t>Ensure that the Kubelet only makes use of Strong Cryptographic Ciphers</t>
  </si>
  <si>
    <t>Ensure that a limit is set on pod PIDs</t>
  </si>
  <si>
    <t>Ensure that the --seccomp-default parameter is set to true</t>
  </si>
  <si>
    <t>kube-proxy</t>
  </si>
  <si>
    <t>4.3.1</t>
  </si>
  <si>
    <t>Ensure that the kube-proxy metrics service is bound to localhost</t>
  </si>
  <si>
    <t>RBAC and Service Accounts</t>
  </si>
  <si>
    <t>5.1.1</t>
  </si>
  <si>
    <t>5.1.2</t>
  </si>
  <si>
    <t>5.1.3</t>
  </si>
  <si>
    <t>5.1.4</t>
  </si>
  <si>
    <t>5.1.5</t>
  </si>
  <si>
    <t>5.1.6</t>
  </si>
  <si>
    <t>5.1.7</t>
  </si>
  <si>
    <t>5.1.8</t>
  </si>
  <si>
    <t>5.1.9</t>
  </si>
  <si>
    <t>5.1.10</t>
  </si>
  <si>
    <t>5.1.11</t>
  </si>
  <si>
    <t>5.1.12</t>
  </si>
  <si>
    <t>5.1.13</t>
  </si>
  <si>
    <t>Ensure that the cluster-admin role is only used where required</t>
  </si>
  <si>
    <t>Minimize access to secrets</t>
  </si>
  <si>
    <t>Minimize wildcard use in Roles and ClusterRoles</t>
  </si>
  <si>
    <t>Minimize access to create pods</t>
  </si>
  <si>
    <t>Ensure that default service accounts are not actively used</t>
  </si>
  <si>
    <t>Ensure that Service Account Tokens are only mounted where necessary</t>
  </si>
  <si>
    <t>Limit use of the Bind, Impersonate and Escalate permissions in the Kubernetes cluster</t>
  </si>
  <si>
    <t>Minimize access to create persistent volumes</t>
  </si>
  <si>
    <t>Minimize access to the approval sub-resource of certificatesigningrequests objects</t>
  </si>
  <si>
    <t>Pod Security Standards</t>
  </si>
  <si>
    <t>5.2.1</t>
  </si>
  <si>
    <t>5.2.2</t>
  </si>
  <si>
    <t>5.2.10</t>
  </si>
  <si>
    <t>5.2.11</t>
  </si>
  <si>
    <t>5.2.12</t>
  </si>
  <si>
    <t>Ensure that the cluster has at least one active policy control mechanism in place</t>
  </si>
  <si>
    <t>Minimize the admission of privileged containers</t>
  </si>
  <si>
    <t>Minimize the admission of containers wishing to share the host process ID namespace</t>
  </si>
  <si>
    <t>Minimize the admission of containers wishing to share the host IPC namespace</t>
  </si>
  <si>
    <t>Minimize the admission of containers wishing to share the host network namespace</t>
  </si>
  <si>
    <t>Minimize the admission of containers with allowPrivilegeEscalation</t>
  </si>
  <si>
    <t>Minimize the admission of root containers</t>
  </si>
  <si>
    <t>Minimize the admission of containers with the NET_RAW capability</t>
  </si>
  <si>
    <t>Minimize the admission of containers with capabilities assigned</t>
  </si>
  <si>
    <t>Minimize the admission of Windows HostProcess Containers</t>
  </si>
  <si>
    <t>Minimize the admission of HostPath volumes</t>
  </si>
  <si>
    <t>Minimize the admission of containers which use HostPorts</t>
  </si>
  <si>
    <t>Network Policies and CNI</t>
  </si>
  <si>
    <t>5.3.1</t>
  </si>
  <si>
    <t>5.3.2</t>
  </si>
  <si>
    <t>Ensure that the CNI in use supports Network Policies</t>
  </si>
  <si>
    <t>Ensure that all Namespaces have Network Policies defined</t>
  </si>
  <si>
    <t>Prefer using secrets as files over secrets as environment variables</t>
  </si>
  <si>
    <t>5.4.1</t>
  </si>
  <si>
    <t>5.4.2</t>
  </si>
  <si>
    <t>Consider external secret storage</t>
  </si>
  <si>
    <t>General Policies</t>
  </si>
  <si>
    <t>Extensible Admission Control</t>
  </si>
  <si>
    <t>5.5.1</t>
  </si>
  <si>
    <t>Configure Image Provenance using ImagePolicyWebhook admission controller</t>
  </si>
  <si>
    <t>5.6.1</t>
  </si>
  <si>
    <t>5.6.2</t>
  </si>
  <si>
    <t>Create administrative boundaries between resources using namespaces</t>
  </si>
  <si>
    <t>Ensure that the seccomp profile is set to docker/default in your pod definitions</t>
  </si>
  <si>
    <t>5.6.3</t>
  </si>
  <si>
    <t>5.6.4</t>
  </si>
  <si>
    <t>The default namespace should not be used</t>
  </si>
  <si>
    <t>NSA-CISA Kubernetes Hardening Guide</t>
  </si>
  <si>
    <t>Kubernetes Pod Security</t>
  </si>
  <si>
    <t>"Non-root" containers and "rootless" container engines</t>
  </si>
  <si>
    <t>Pod security enforcement</t>
  </si>
  <si>
    <t>Hardening container environments</t>
  </si>
  <si>
    <t>Etcd</t>
  </si>
  <si>
    <t>Kubeconfig Files</t>
  </si>
  <si>
    <t>Worker node segmentation</t>
  </si>
  <si>
    <t>Encryption</t>
  </si>
  <si>
    <t>Audit Logging and Threat Detection</t>
  </si>
  <si>
    <t>Syslog</t>
  </si>
  <si>
    <t>SIEM platforms</t>
  </si>
  <si>
    <t>Service meshes</t>
  </si>
  <si>
    <t>Fault tolerance</t>
  </si>
  <si>
    <t>Threat Detection</t>
  </si>
  <si>
    <t>Alerting</t>
  </si>
  <si>
    <t>Tools</t>
  </si>
  <si>
    <t>Upgrading and application security practices</t>
  </si>
  <si>
    <t>Subtitle</t>
  </si>
  <si>
    <t>Ver 2, Rel 3</t>
  </si>
  <si>
    <t>Kubernetes Secure Technical Implementation Guide (STIG)</t>
  </si>
  <si>
    <t>CNTR-K8-000150</t>
  </si>
  <si>
    <t>V-242376</t>
  </si>
  <si>
    <t>SV-242376r960759</t>
  </si>
  <si>
    <t>CNTR-K8-000160</t>
  </si>
  <si>
    <t>V-242377</t>
  </si>
  <si>
    <t>SV-242377r960759</t>
  </si>
  <si>
    <t>The Kubernetes Controller Manager must use TLS 1.2, at a minimum</t>
  </si>
  <si>
    <t>The Kubernetes Scheduler must use TLS 1.2, at a minimum</t>
  </si>
  <si>
    <t>CNTR-K8-000170</t>
  </si>
  <si>
    <t>V-242378</t>
  </si>
  <si>
    <t>SV-242378r960759</t>
  </si>
  <si>
    <t>The Kubernetes API Server must use TLS 1.2, at a minimum</t>
  </si>
  <si>
    <t>CNTR-K8-000180</t>
  </si>
  <si>
    <t>V-242379</t>
  </si>
  <si>
    <t>SV-242379r960759</t>
  </si>
  <si>
    <t>CNTR-K8-000190</t>
  </si>
  <si>
    <t>V-242380</t>
  </si>
  <si>
    <t>SV-242380r960759</t>
  </si>
  <si>
    <t>The Kubernetes etcd must use TLS (--auto-tls)</t>
  </si>
  <si>
    <t>The Kubernetes etcd must use TLS (--peer-auto-tls)</t>
  </si>
  <si>
    <t>CNTR-K8-000220</t>
  </si>
  <si>
    <t>V-242381</t>
  </si>
  <si>
    <t>SV-242381r1043176</t>
  </si>
  <si>
    <t>The Kubernetes Controller Manager must create unique service accounts for each work payload.</t>
  </si>
  <si>
    <t>CNTR-K8-000270</t>
  </si>
  <si>
    <t>V-242382</t>
  </si>
  <si>
    <t>SV-242382r960792</t>
  </si>
  <si>
    <t>The Kubernetes API Server must enable Node,RBAC as the authorization mode.</t>
  </si>
  <si>
    <t>CNTR-K8-000290</t>
  </si>
  <si>
    <t>V-242383</t>
  </si>
  <si>
    <t>SV-242383r960801</t>
  </si>
  <si>
    <t>User-managed resources must be created in dedicated namespaces.</t>
  </si>
  <si>
    <t>CNTR-K8-000300</t>
  </si>
  <si>
    <t>V-242384</t>
  </si>
  <si>
    <t>SV-242384r960792</t>
  </si>
  <si>
    <t>The Kubernetes Scheduler must have secure binding.</t>
  </si>
  <si>
    <t>CNTR-K8-000310</t>
  </si>
  <si>
    <t>V-242385</t>
  </si>
  <si>
    <t>SV-242385r960792</t>
  </si>
  <si>
    <t>The Kubernetes Controller Manager must have secure binding.</t>
  </si>
  <si>
    <t>Group ID</t>
  </si>
  <si>
    <t>Rule ID</t>
  </si>
  <si>
    <t>CNTR-K8-000320</t>
  </si>
  <si>
    <t>V-242386</t>
  </si>
  <si>
    <t>SV-242386r960792</t>
  </si>
  <si>
    <t>The Kubernetes API server must have the insecure port flag disabled.</t>
  </si>
  <si>
    <t>CNTR-K8-000330</t>
  </si>
  <si>
    <t>V-242387</t>
  </si>
  <si>
    <t>SV-242387r960792</t>
  </si>
  <si>
    <t>The Kubernetes Kubelet must have the "readOnlyPort" flag disabled.</t>
  </si>
  <si>
    <t>CNTR-K8-000340</t>
  </si>
  <si>
    <t>V-242388</t>
  </si>
  <si>
    <t>SV-242388r960792</t>
  </si>
  <si>
    <t>The Kubernetes API server must have the insecure bind address not set.</t>
  </si>
  <si>
    <t>CNTR-K8-000350</t>
  </si>
  <si>
    <t>V-242389</t>
  </si>
  <si>
    <t>SV-242389r960792</t>
  </si>
  <si>
    <t>The Kubernetes API server must have the secure port set.</t>
  </si>
  <si>
    <t>CNTR-K8-000360</t>
  </si>
  <si>
    <t>V-242390</t>
  </si>
  <si>
    <t>SV-242390r960792</t>
  </si>
  <si>
    <t>The Kubernetes API server must have anonymous authentication disabled.</t>
  </si>
  <si>
    <t>CNTR-K8-000380</t>
  </si>
  <si>
    <t>V-242392</t>
  </si>
  <si>
    <t>SV-242392r1069461</t>
  </si>
  <si>
    <t>The Kubernetes kubelet must enable explicit authorization.</t>
  </si>
  <si>
    <t>CNTR-K8-000370</t>
  </si>
  <si>
    <t>V-242391</t>
  </si>
  <si>
    <t>SV-242391r960792</t>
  </si>
  <si>
    <t>The Kubernetes Kubelet must have anonymous authentication disabled.</t>
  </si>
  <si>
    <t>CNTR-K8-000400</t>
  </si>
  <si>
    <t>V-242393</t>
  </si>
  <si>
    <t>SV-242393r960792</t>
  </si>
  <si>
    <t>CNTR-K8-000410</t>
  </si>
  <si>
    <t>V-242394</t>
  </si>
  <si>
    <t>SV-242394r960792</t>
  </si>
  <si>
    <t>Kubernetes Worker Nodes must not have the sshd service enabled.</t>
  </si>
  <si>
    <t>CNTR-K8-000420</t>
  </si>
  <si>
    <t>V-242395</t>
  </si>
  <si>
    <t>SV-242395r960792</t>
  </si>
  <si>
    <t>Kubernetes dashboard must not be enabled.</t>
  </si>
  <si>
    <t>CNTR-K8-000430</t>
  </si>
  <si>
    <t>V-242396</t>
  </si>
  <si>
    <t>SV-242396r960792</t>
  </si>
  <si>
    <t>Kubernetes Kubectl cp command must give expected access and results.</t>
  </si>
  <si>
    <t>CNTR-K8-000440</t>
  </si>
  <si>
    <t>V-242397</t>
  </si>
  <si>
    <t>SV-242397r1069464</t>
  </si>
  <si>
    <t>The Kubernetes kubelet staticPodPath must not enable static pods.</t>
  </si>
  <si>
    <t>CNTR-K8-000450</t>
  </si>
  <si>
    <t>V-242398</t>
  </si>
  <si>
    <t>SV-242398r960792</t>
  </si>
  <si>
    <t>Kubernetes DynamicAuditing must not be enabled.</t>
  </si>
  <si>
    <t>CNTR-K8-000460</t>
  </si>
  <si>
    <t>V-242399</t>
  </si>
  <si>
    <t>SV-242399r960792</t>
  </si>
  <si>
    <t>Kubernetes DynamicKubeletConfig must not be enabled.</t>
  </si>
  <si>
    <t>CNTR-K8-000470</t>
  </si>
  <si>
    <t>V-242400</t>
  </si>
  <si>
    <t>SV-242400r960792</t>
  </si>
  <si>
    <t>The Kubernetes API server must have Alpha APIs disabled.</t>
  </si>
  <si>
    <t>CNTR-K8-000610</t>
  </si>
  <si>
    <t>V-242402</t>
  </si>
  <si>
    <t>SV-242402r960888</t>
  </si>
  <si>
    <t>The Kubernetes API Server must have an audit log path set.</t>
  </si>
  <si>
    <t>CNTR-K8-000700</t>
  </si>
  <si>
    <t>V-242403</t>
  </si>
  <si>
    <t>SV-242403r986135</t>
  </si>
  <si>
    <t>Kubernetes API Server must generate audit records</t>
  </si>
  <si>
    <t>CNTR-K8-000850</t>
  </si>
  <si>
    <t>V-242404</t>
  </si>
  <si>
    <t>SV-242404r960960</t>
  </si>
  <si>
    <t>Kubernetes Kubelet must deny hostname override.</t>
  </si>
  <si>
    <t>CNTR-K8-000860</t>
  </si>
  <si>
    <t>V-242405</t>
  </si>
  <si>
    <t>SV-242405r960960</t>
  </si>
  <si>
    <t>The Kubernetes manifests must be owned by root.</t>
  </si>
  <si>
    <t>CNTR-K8-000880</t>
  </si>
  <si>
    <t>V-242406</t>
  </si>
  <si>
    <t>SV-242406r960960</t>
  </si>
  <si>
    <t>The Kubernetes KubeletConfiguration file must be owned by root.</t>
  </si>
  <si>
    <t>CNTR-K8-000890</t>
  </si>
  <si>
    <t>V-242407</t>
  </si>
  <si>
    <t>SV-242407r960960</t>
  </si>
  <si>
    <t>The Kubernetes KubeletConfiguration files must have file permissions set to 644 or more restrictive.</t>
  </si>
  <si>
    <t>CNTR-K8-000900</t>
  </si>
  <si>
    <t>V-242408</t>
  </si>
  <si>
    <t>SV-242408r960960</t>
  </si>
  <si>
    <t>The Kubernetes manifest files must have least privileges.</t>
  </si>
  <si>
    <t>CNTR-K8-000910</t>
  </si>
  <si>
    <t>V-242409</t>
  </si>
  <si>
    <t>SV-242409r960963</t>
  </si>
  <si>
    <t>Kubernetes Controller Manager must disable profiling.</t>
  </si>
  <si>
    <t>CNTR-K8-000920</t>
  </si>
  <si>
    <t>V-242410</t>
  </si>
  <si>
    <t>SV-242410r1043177</t>
  </si>
  <si>
    <t>The Kubernetes API Server must enforce ports, protocols, and services</t>
  </si>
  <si>
    <t>CNTR-K8-000930</t>
  </si>
  <si>
    <t>V-242411</t>
  </si>
  <si>
    <t>SV-242411r1043177</t>
  </si>
  <si>
    <t>The Kubernetes Scheduler must enforce ports, protocols, and services</t>
  </si>
  <si>
    <t>CNTR-K8-000940</t>
  </si>
  <si>
    <t>V-242412</t>
  </si>
  <si>
    <t>SV-242412r1043177</t>
  </si>
  <si>
    <t>The Kubernetes Controllers must enforce ports, protocols, and services</t>
  </si>
  <si>
    <t>CNTR-K8-000950</t>
  </si>
  <si>
    <t>V-242413</t>
  </si>
  <si>
    <t>SV-242413r1043177</t>
  </si>
  <si>
    <t>The Kubernetes etcd must enforce ports, protocols, and services</t>
  </si>
  <si>
    <t>CNTR-K8-000960</t>
  </si>
  <si>
    <t>V-242414</t>
  </si>
  <si>
    <t>SV-242414r1043177</t>
  </si>
  <si>
    <t>The Kubernetes cluster must use non-privileged host ports for user pods.</t>
  </si>
  <si>
    <t>CNTR-K8-001160</t>
  </si>
  <si>
    <t>V-242415</t>
  </si>
  <si>
    <t>SV-242415r1069466</t>
  </si>
  <si>
    <t>Secrets in Kubernetes must not be stored as environment variables.</t>
  </si>
  <si>
    <t>CNTR-K8-001300</t>
  </si>
  <si>
    <t>V-245541</t>
  </si>
  <si>
    <t>SV-245541r1069469</t>
  </si>
  <si>
    <t>Kubernetes Kubelet must not disable timeouts.</t>
  </si>
  <si>
    <t>CNTR-K8-001360</t>
  </si>
  <si>
    <t>V-242417</t>
  </si>
  <si>
    <t>SV-242417r961095</t>
  </si>
  <si>
    <t>Kubernetes must separate user functionality.</t>
  </si>
  <si>
    <t>CNTR-K8-001400</t>
  </si>
  <si>
    <t>V-242418</t>
  </si>
  <si>
    <t>SV-242418r1043178</t>
  </si>
  <si>
    <t>The Kubernetes API server must use approved cipher suites.</t>
  </si>
  <si>
    <t>CNTR-K8-001420</t>
  </si>
  <si>
    <t>V-242420</t>
  </si>
  <si>
    <t>SV-242420r1043178</t>
  </si>
  <si>
    <t>Kubernetes Kubelet must have the SSL Certificate Authority set.</t>
  </si>
  <si>
    <t>CNTR-K8-001410</t>
  </si>
  <si>
    <t>V-242419</t>
  </si>
  <si>
    <t>SV-242419r1043178</t>
  </si>
  <si>
    <t>Kubernetes API Server must have the SSL Certificate Authority set.</t>
  </si>
  <si>
    <t>CNTR-K8-001430</t>
  </si>
  <si>
    <t>V-242421</t>
  </si>
  <si>
    <t>SV-242421r1043178</t>
  </si>
  <si>
    <t>Kubernetes Controller Manager must have the SSL Certificate Authority set.</t>
  </si>
  <si>
    <t>CNTR-K8-001440</t>
  </si>
  <si>
    <t>V-242422</t>
  </si>
  <si>
    <t>SV-242422r1043178</t>
  </si>
  <si>
    <t>Kubernetes API Server must have a certificate for communication.</t>
  </si>
  <si>
    <t>CNTR-K8-001450</t>
  </si>
  <si>
    <t>V-242423</t>
  </si>
  <si>
    <t>SV-242423r1043178</t>
  </si>
  <si>
    <t>CNTR-K8-001460</t>
  </si>
  <si>
    <t>V-242424</t>
  </si>
  <si>
    <t>SV-242424r1043178</t>
  </si>
  <si>
    <t>Kubernetes Kubelet must enable tlsPrivateKeyFile for client authentication to secure service.</t>
  </si>
  <si>
    <t>CNTR-K8-001470</t>
  </si>
  <si>
    <t>V-242425</t>
  </si>
  <si>
    <t>SV-242425r1043178</t>
  </si>
  <si>
    <t>Kubernetes Kubelet must enable tlsCertFile for client authentication to secure service.</t>
  </si>
  <si>
    <t>CNTR-K8-001480</t>
  </si>
  <si>
    <t>V-242426</t>
  </si>
  <si>
    <t>SV-242426r1043178</t>
  </si>
  <si>
    <t>CNTR-K8-001490</t>
  </si>
  <si>
    <t>V-242427</t>
  </si>
  <si>
    <t>SV-242427r1043178</t>
  </si>
  <si>
    <t>CNTR-K8-001500</t>
  </si>
  <si>
    <t>V-242428</t>
  </si>
  <si>
    <t>SV-242428r1043178</t>
  </si>
  <si>
    <t>CNTR-K8-001510</t>
  </si>
  <si>
    <t>V-242429</t>
  </si>
  <si>
    <t>SV-242429r1043178</t>
  </si>
  <si>
    <t>Kubernetes etcd must have the SSL Certificate Authority set.</t>
  </si>
  <si>
    <t>Kubernetes etcd must enable client authentication to secure service. (--peer-client-cert-auth)</t>
  </si>
  <si>
    <t>Kubernetes etcd must enable client authentication to secure service. (--client-cert-auth)</t>
  </si>
  <si>
    <t>CNTR-K8-001520</t>
  </si>
  <si>
    <t>V-242430</t>
  </si>
  <si>
    <t>SV-242430r1043178</t>
  </si>
  <si>
    <t>CNTR-K8-001530</t>
  </si>
  <si>
    <t>V-242431</t>
  </si>
  <si>
    <t>SV-242431r1043178</t>
  </si>
  <si>
    <t>CNTR-K8-001540</t>
  </si>
  <si>
    <t>Kubernetes etcd must have a certificate for communication. (--etcd-certfile)</t>
  </si>
  <si>
    <t>Kubernetes etcd must have a certificate for communication. (--cert-file)</t>
  </si>
  <si>
    <t>Kubernetes etcd must have a key file for secure communication. (--key-file)</t>
  </si>
  <si>
    <t>Kubernetes etcd must have a key file for secure communication. (--etcd-keyfile)</t>
  </si>
  <si>
    <t>V-242432</t>
  </si>
  <si>
    <t>SV-242432r1043178</t>
  </si>
  <si>
    <t>Kubernetes etcd must have peer-cert-file set for secure communication.</t>
  </si>
  <si>
    <t>CNTR-K8-001550</t>
  </si>
  <si>
    <t>V-242433</t>
  </si>
  <si>
    <t>SV-242433r1043178</t>
  </si>
  <si>
    <t>Kubernetes etcd must have a peer-key-file set for secure communication.</t>
  </si>
  <si>
    <t>CNTR-K8-001620</t>
  </si>
  <si>
    <t>V-242434</t>
  </si>
  <si>
    <t>SV-242434r961131</t>
  </si>
  <si>
    <t>Kubernetes Kubelet must enable kernel protection.</t>
  </si>
  <si>
    <t>CNTR-K8-002000</t>
  </si>
  <si>
    <t>V-242436</t>
  </si>
  <si>
    <t>SV-242436r961359</t>
  </si>
  <si>
    <t>The Kubernetes API server must have the ValidatingAdmissionWebhook enabled.</t>
  </si>
  <si>
    <t>CNTR-K8-002001</t>
  </si>
  <si>
    <t>V-254801</t>
  </si>
  <si>
    <t>SV-254801r961359</t>
  </si>
  <si>
    <t>Kubernetes must enable PodSecurity admission controller on static pods and Kubelets.</t>
  </si>
  <si>
    <t>CNTR-K8-002010</t>
  </si>
  <si>
    <t>V-242437</t>
  </si>
  <si>
    <t>SV-242437r961359</t>
  </si>
  <si>
    <t>Kubernetes must have a pod security policy set.</t>
  </si>
  <si>
    <t>CNTR-K8-002011</t>
  </si>
  <si>
    <t>V-254800</t>
  </si>
  <si>
    <t>SV-254800r961359</t>
  </si>
  <si>
    <t>Kubernetes must have a Pod Security Admission control file configured.</t>
  </si>
  <si>
    <t>CNTR-K8-002600</t>
  </si>
  <si>
    <t>V-242438</t>
  </si>
  <si>
    <t>SV-242438r961620</t>
  </si>
  <si>
    <t>Kubernetes API Server must configure timeouts to limit attack surface.</t>
  </si>
  <si>
    <t>CNTR-K8-002620</t>
  </si>
  <si>
    <t>V-245542</t>
  </si>
  <si>
    <t>SV-245542r961632</t>
  </si>
  <si>
    <t>Kubernetes API Server must disable basic authentication to protect information in transit.</t>
  </si>
  <si>
    <t>CNTR-K8-002630</t>
  </si>
  <si>
    <t>V-245543</t>
  </si>
  <si>
    <t>SV-245543r961632</t>
  </si>
  <si>
    <t>Kubernetes API Server must disable token authentication to protect information in transit.</t>
  </si>
  <si>
    <t>CNTR-K8-002640</t>
  </si>
  <si>
    <t>V-245544</t>
  </si>
  <si>
    <t>SV-245544r961632</t>
  </si>
  <si>
    <t>Kubernetes endpoints must use approved organizational certificate and key pair to protect information in transit.</t>
  </si>
  <si>
    <t>CNTR-K8-002700</t>
  </si>
  <si>
    <t>V-242442</t>
  </si>
  <si>
    <t>SV-242442r961677</t>
  </si>
  <si>
    <t>Kubernetes must remove old components after updated versions have been installed.</t>
  </si>
  <si>
    <t>CNTR-K8-002720</t>
  </si>
  <si>
    <t>V-242443</t>
  </si>
  <si>
    <t>SV-242443r961683</t>
  </si>
  <si>
    <t>Kubernetes must contain the latest updates as authorized by IAVMs, CTOs, DTMs, and STIGs.</t>
  </si>
  <si>
    <t>CNTR-K8-003110</t>
  </si>
  <si>
    <t>V-242444</t>
  </si>
  <si>
    <t>SV-242444r961863</t>
  </si>
  <si>
    <t>The Kubernetes component manifests must be owned by root.</t>
  </si>
  <si>
    <t>CNTR-K8-003120</t>
  </si>
  <si>
    <t>V-242445</t>
  </si>
  <si>
    <t>SV-242445r961863</t>
  </si>
  <si>
    <t>The Kubernetes component etcd must be owned by etcd.</t>
  </si>
  <si>
    <t>CNTR-K8-003130</t>
  </si>
  <si>
    <t>V-242446</t>
  </si>
  <si>
    <t>SV-242446r961863</t>
  </si>
  <si>
    <t>The Kubernetes conf files must be owned by root.</t>
  </si>
  <si>
    <t>CNTR-K8-003140</t>
  </si>
  <si>
    <t>V-242447</t>
  </si>
  <si>
    <t>SV-242447r961863</t>
  </si>
  <si>
    <t>The Kubernetes Kube Proxy kubeconfig must have file permissions set to 644 or more restrictive.</t>
  </si>
  <si>
    <t>CNTR-K8-003150</t>
  </si>
  <si>
    <t>V-242448</t>
  </si>
  <si>
    <t>SV-242448r961863</t>
  </si>
  <si>
    <t>The Kubernetes Kube Proxy kubeconfig must be owned by root.</t>
  </si>
  <si>
    <t>CNTR-K8-003160</t>
  </si>
  <si>
    <t>V-242449</t>
  </si>
  <si>
    <t>SV-242449r961863</t>
  </si>
  <si>
    <t>The Kubernetes Kubelet certificate authority file must have file permissions set to 644 or more restrictive.</t>
  </si>
  <si>
    <t>CNTR-K8-003170</t>
  </si>
  <si>
    <t>V-242450</t>
  </si>
  <si>
    <t>SV-242450r961863</t>
  </si>
  <si>
    <t>The Kubernetes Kubelet certificate authority must be owned by root.</t>
  </si>
  <si>
    <t>CNTR-K8-003180</t>
  </si>
  <si>
    <t>V-242451</t>
  </si>
  <si>
    <t>SV-242451r961863</t>
  </si>
  <si>
    <t>The Kubernetes component PKI must be owned by root.</t>
  </si>
  <si>
    <t>CNTR-K8-003190</t>
  </si>
  <si>
    <t>V-242452</t>
  </si>
  <si>
    <t>SV-242452r961863</t>
  </si>
  <si>
    <t>The Kubernetes kubelet KubeConfig must have file permissions set to 644 or more restrictive.</t>
  </si>
  <si>
    <t>CNTR-K8-003200</t>
  </si>
  <si>
    <t>V-242453</t>
  </si>
  <si>
    <t>SV-242453r961863</t>
  </si>
  <si>
    <t>The Kubernetes kubelet KubeConfig file must be owned by root.</t>
  </si>
  <si>
    <t>CNTR-K8-003210</t>
  </si>
  <si>
    <t>V-242454</t>
  </si>
  <si>
    <t>SV-242454r961863</t>
  </si>
  <si>
    <t>The Kubernetes kubeadm.conf must be owned by root.</t>
  </si>
  <si>
    <t>CNTR-K8-003220</t>
  </si>
  <si>
    <t>V-242455</t>
  </si>
  <si>
    <t>SV-242455r961863</t>
  </si>
  <si>
    <t>The Kubernetes kubeadm.conf must have file permissions set to 644 or more restrictive.</t>
  </si>
  <si>
    <t>CNTR-K8-003230</t>
  </si>
  <si>
    <t>V-242456</t>
  </si>
  <si>
    <t>SV-242456r961863</t>
  </si>
  <si>
    <t>The Kubernetes kubelet config must have file permissions set to 644 or more restrictive.</t>
  </si>
  <si>
    <t>CNTR-K8-003240</t>
  </si>
  <si>
    <t>V-242457</t>
  </si>
  <si>
    <t>SV-242457r961863</t>
  </si>
  <si>
    <t>The Kubernetes kubelet config must be owned by root.</t>
  </si>
  <si>
    <t>CNTR-K8-003260</t>
  </si>
  <si>
    <t>V-242459</t>
  </si>
  <si>
    <t>SV-242459r961863</t>
  </si>
  <si>
    <t>The Kubernetes etcd must have file permissions set to 644 or more restrictive.</t>
  </si>
  <si>
    <t>CNTR-K8-003270</t>
  </si>
  <si>
    <t>V-242460</t>
  </si>
  <si>
    <t>SV-242460r961863</t>
  </si>
  <si>
    <t>The Kubernetes admin kubeconfig must have file permissions set to 644 or more restrictive.</t>
  </si>
  <si>
    <t>CNTR-K8-003280</t>
  </si>
  <si>
    <t>V-242461</t>
  </si>
  <si>
    <t>SV-242461r961863</t>
  </si>
  <si>
    <t>Kubernetes API Server audit logs must be enabled.</t>
  </si>
  <si>
    <t>CNTR-K8-003290</t>
  </si>
  <si>
    <t>V-242462</t>
  </si>
  <si>
    <t>SV-242462r961863</t>
  </si>
  <si>
    <t>The Kubernetes API Server must be set to audit log max size.</t>
  </si>
  <si>
    <t>CNTR-K8-003300</t>
  </si>
  <si>
    <t>V-242463</t>
  </si>
  <si>
    <t>The Kubernetes API Server must be set to audit log maximum backup.</t>
  </si>
  <si>
    <t>SV-242463r961863</t>
  </si>
  <si>
    <t>CNTR-K8-003310</t>
  </si>
  <si>
    <t>V-242464</t>
  </si>
  <si>
    <t>SV-242464r961863</t>
  </si>
  <si>
    <t>The Kubernetes API Server audit log retention must be set.</t>
  </si>
  <si>
    <t>CNTR-K8-003320</t>
  </si>
  <si>
    <t>V-242465</t>
  </si>
  <si>
    <t>SV-242465r961863</t>
  </si>
  <si>
    <t>The Kubernetes API Server audit log path must be set.</t>
  </si>
  <si>
    <t>CNTR-K8-003330</t>
  </si>
  <si>
    <t>V-242466</t>
  </si>
  <si>
    <t>SV-242466r961863</t>
  </si>
  <si>
    <t>The Kubernetes PKI CRT must have file permissions set to 644 or more restrictive.</t>
  </si>
  <si>
    <t>CNTR-K8-003340</t>
  </si>
  <si>
    <t>V-242467</t>
  </si>
  <si>
    <t>SV-242467r961863</t>
  </si>
  <si>
    <t>The Kubernetes PKI keys must have file permissions set to 600 or more restrictive.</t>
  </si>
  <si>
    <t>BSI - APP.4.4 Kubernetes</t>
  </si>
  <si>
    <t>Basis-Anforderungen</t>
  </si>
  <si>
    <t>APP.4.4.A1</t>
  </si>
  <si>
    <t>Planung der Separierung der Anwendungen</t>
  </si>
  <si>
    <t>APP.4.4.A2</t>
  </si>
  <si>
    <t>APP.4.4.A3</t>
  </si>
  <si>
    <t>Identitäts- und Berechtigungsmanagement bei Kubernetes</t>
  </si>
  <si>
    <t>APP.4.4.A4</t>
  </si>
  <si>
    <t>Separierung von Pods</t>
  </si>
  <si>
    <t>APP.4.4.A5</t>
  </si>
  <si>
    <t>Datensicherung im Cluster</t>
  </si>
  <si>
    <t>Standard-Anforderungen</t>
  </si>
  <si>
    <t>APP.4.4.A6</t>
  </si>
  <si>
    <t>Initialisierung von Pods</t>
  </si>
  <si>
    <t>APP.4.4.A7</t>
  </si>
  <si>
    <t>Separierung der Netze bei Kubernetes</t>
  </si>
  <si>
    <t>APP.4.4.A8</t>
  </si>
  <si>
    <t>Absicherung von Konfigurationsdateien bei Kubernetes</t>
  </si>
  <si>
    <t>APP.4.4.A9</t>
  </si>
  <si>
    <t>Nutzung von Kubernetes Service-Accounts</t>
  </si>
  <si>
    <t>APP.4.4.A10</t>
  </si>
  <si>
    <t>Absicherung von Prozessen der Automatisierung</t>
  </si>
  <si>
    <t>APP.4.4.A11</t>
  </si>
  <si>
    <t>Überwachung der Container</t>
  </si>
  <si>
    <t>Absicherung der Infrastruktur-Anwendungen</t>
  </si>
  <si>
    <t>APP.4.4.A12</t>
  </si>
  <si>
    <t>Anforderungen bei erhöhtem Schutzbedarf</t>
  </si>
  <si>
    <t>APP.4.4.A13</t>
  </si>
  <si>
    <t>Automatisierte Auditierung der Konfiguration</t>
  </si>
  <si>
    <t>APP.4.4.A14</t>
  </si>
  <si>
    <t>Verwendung dedizierter Nodes</t>
  </si>
  <si>
    <t>APP.4.4.A15</t>
  </si>
  <si>
    <t>Trennung von Anwendungen auf Node- und Cluster-Ebene</t>
  </si>
  <si>
    <t>APP.4.4.A16</t>
  </si>
  <si>
    <t>Verwendung von Operatoren</t>
  </si>
  <si>
    <t>APP.4.4.A17</t>
  </si>
  <si>
    <t>Attestierung von Nodes</t>
  </si>
  <si>
    <t>APP.4.4.A18</t>
  </si>
  <si>
    <t>Verwendung von Mikro-Segmentierung</t>
  </si>
  <si>
    <t>APP.4.4.A19</t>
  </si>
  <si>
    <t>Hochverfügbarkeit von Kubernetes</t>
  </si>
  <si>
    <t>APP.4.4.A20</t>
  </si>
  <si>
    <t>Verschlüsselte Datenhaltung bei Pods</t>
  </si>
  <si>
    <t>APP.4.4.A21</t>
  </si>
  <si>
    <t>Regelmäßiger Restart von Pods</t>
  </si>
  <si>
    <t>Planung der Automatisierung mit CI/CD</t>
  </si>
  <si>
    <t>Guidance for Containers and Container Orchestration Tools</t>
  </si>
  <si>
    <t>All access requires authentication and individual accountability</t>
  </si>
  <si>
    <t>All user credentials should be tied to specific individuals</t>
  </si>
  <si>
    <t>All credentials used by the orchestration system should be revokable</t>
  </si>
  <si>
    <t>Authentication mechanisms should store credentials in a properly secured datastore</t>
  </si>
  <si>
    <t>1.5.a</t>
  </si>
  <si>
    <t>Credentials should only be provided to running services where explicitly required</t>
  </si>
  <si>
    <t>1.5.b</t>
  </si>
  <si>
    <t>Service accounts should be configured for least privilege</t>
  </si>
  <si>
    <t>Interactive users should use multi-factor authentication</t>
  </si>
  <si>
    <t>Access granted for users or services should be on a least privilege basis</t>
  </si>
  <si>
    <t>2.2.a</t>
  </si>
  <si>
    <t>All access granted to the orchestration tool should be capable of modification</t>
  </si>
  <si>
    <t>2.2.b</t>
  </si>
  <si>
    <t>Access groups should not be hard-coded</t>
  </si>
  <si>
    <t>1.1.a</t>
  </si>
  <si>
    <t>1.2.a</t>
  </si>
  <si>
    <t>1.3.a</t>
  </si>
  <si>
    <t>1.4.a</t>
  </si>
  <si>
    <t>1.6.a</t>
  </si>
  <si>
    <t>2.1.a</t>
  </si>
  <si>
    <t>2.3.a</t>
  </si>
  <si>
    <t>Use manual and automated means to regularly audit implemented permissions</t>
  </si>
  <si>
    <t>3.1.a</t>
  </si>
  <si>
    <t>Workloads running in the orchestration system should be configured to prevent access to the underlying cluster nodes by default.</t>
  </si>
  <si>
    <t>3.2.a</t>
  </si>
  <si>
    <t>Workload definitions/manifests should target specific known versions of any container images</t>
  </si>
  <si>
    <t>3.3.a</t>
  </si>
  <si>
    <t xml:space="preserve">All container images running in the cluster should come from trusted sources. </t>
  </si>
  <si>
    <t>4.1.a</t>
  </si>
  <si>
    <t xml:space="preserve">Container orchestration tool networks should be configured on a default deny basis, with access explicitly required only for the operation of the applications being allowed. </t>
  </si>
  <si>
    <t>4.2.a</t>
  </si>
  <si>
    <t>4.3.a</t>
  </si>
  <si>
    <t>Access to orchestration system components and other administrative APIs should be restricted using an explicit allow-list of IP addresses.</t>
  </si>
  <si>
    <t>All traffic with orchestration system components APIs should be over encrypted connections, ensuring encryption key rotation meets PCI key and secret requirements.</t>
  </si>
  <si>
    <t>PKI</t>
  </si>
  <si>
    <t>5.1.a</t>
  </si>
  <si>
    <t xml:space="preserve">Where revocation of certificates is not supported, certificate-based authentication should not be used. </t>
  </si>
  <si>
    <t>5.1.b</t>
  </si>
  <si>
    <t xml:space="preserve">Rotate certificates as required by PCI or customer policies or if any containers are compromised. </t>
  </si>
  <si>
    <t>5.2.a</t>
  </si>
  <si>
    <t xml:space="preserve">The certificates issued by orchestration tools should not be trusted outside of the container orchestrator environment, as the container orchestrator’s Certificate Authority private key can have weaker protection than other enterprise PKI trust chains. </t>
  </si>
  <si>
    <t>6.1.a</t>
  </si>
  <si>
    <t xml:space="preserve">All secrets needed for the operation of applications hosted on the orchestration platform should be held in encrypted dedicated secrets management systems. </t>
  </si>
  <si>
    <t>6.2.a</t>
  </si>
  <si>
    <t xml:space="preserve">Apply version control for secrets, so it is easy to refresh or revoke it in case of a compromise. </t>
  </si>
  <si>
    <t>Container Orchestration Tool Auditing</t>
  </si>
  <si>
    <t>7.1.a</t>
  </si>
  <si>
    <t xml:space="preserve">Access to the orchestration system API(s) should be audited and monitored for indications of unauthorized access. Audit logs should be securely stored on a centralized system. </t>
  </si>
  <si>
    <t>Container Monitoring</t>
  </si>
  <si>
    <t>8.1.a</t>
  </si>
  <si>
    <t xml:space="preserve">Centralized logging of container activity should be implemented and allow for correlation of events across instances of the same container. </t>
  </si>
  <si>
    <t>8.2.a</t>
  </si>
  <si>
    <t>Controls should be implemented to detect the adding and execution of new binaries and unauthorized modification of container files to running containers.</t>
  </si>
  <si>
    <t>Container Runtime Security</t>
  </si>
  <si>
    <t>9.1.a</t>
  </si>
  <si>
    <t xml:space="preserve">Where high-risk workloads are identified, consideration should be given to using either   container runtimes that provide hypervisorlevel isolation for the workload or dedicated security sandboxes. </t>
  </si>
  <si>
    <t>9.2.a</t>
  </si>
  <si>
    <t>Where Windows containers are used to run application containers, Hyper-V isolation should be deployed in-line with Microsoft’s security guidance.</t>
  </si>
  <si>
    <t>Patching</t>
  </si>
  <si>
    <t>10.1.a</t>
  </si>
  <si>
    <t>All container orchestration tools should be supported and receive regular security patches, either from the core project or backported by the orchestration system vendor.</t>
  </si>
  <si>
    <t>10.2.a</t>
  </si>
  <si>
    <t>Host operating system of all the nodes that are part of a cluster controlled by a container orchestration tool should be patched and kept up to date.</t>
  </si>
  <si>
    <t>10.3.a</t>
  </si>
  <si>
    <t xml:space="preserve">All container images used for applications running in the cluster should be regularly scanned for vulnerabilities, patches should be regularly applied, and the patched images redeployed to the cluster. </t>
  </si>
  <si>
    <t>Resource Management</t>
  </si>
  <si>
    <t>11.1.a</t>
  </si>
  <si>
    <t xml:space="preserve">All workloads running via a container orchestration system should have defined resource limits to reduce the risk of “noisy neighbors” causing availability issues with workloads in the same cluster. </t>
  </si>
  <si>
    <t>Container Image Building</t>
  </si>
  <si>
    <t>12.1.a</t>
  </si>
  <si>
    <t>Application container images should be built from trusted, up-to-date minimal base images</t>
  </si>
  <si>
    <t>12.2.a</t>
  </si>
  <si>
    <t>A set of common base container images should be maintained in a container registry that is under the entity's control.</t>
  </si>
  <si>
    <t>12.3.a</t>
  </si>
  <si>
    <t xml:space="preserve">Container images should be built to run as a standard (non-root) user. </t>
  </si>
  <si>
    <t>12.4.a</t>
  </si>
  <si>
    <t>Registry</t>
  </si>
  <si>
    <t>13.1.a</t>
  </si>
  <si>
    <t xml:space="preserve">Access to container registries managed by the organization should be controlled. </t>
  </si>
  <si>
    <t>13.1.b</t>
  </si>
  <si>
    <t>Rights to modify or replace images should be limited to authorized individuals.</t>
  </si>
  <si>
    <t>13.2.a</t>
  </si>
  <si>
    <t xml:space="preserve">Consider using two registries, one for production or business-critical workloads and one for development/test purposes, to assist in preventing image sprawl and the opportunity for an unmaintained or vulnerable image being accidentally pulled into a production cluster. </t>
  </si>
  <si>
    <t>13.3.a</t>
  </si>
  <si>
    <t xml:space="preserve">If available, registries should regularly scan images and prevent vulnerable images from being deployed to container runtime environments. </t>
  </si>
  <si>
    <t>13.4.a</t>
  </si>
  <si>
    <t>Registries should be configured to integrate with the image build processes such that only signed images from authorized build pipelines are available for deployment to container runtime environments.</t>
  </si>
  <si>
    <t>Version Management</t>
  </si>
  <si>
    <t>14.1.a</t>
  </si>
  <si>
    <t>14.1.b</t>
  </si>
  <si>
    <t>14.1.c</t>
  </si>
  <si>
    <t xml:space="preserve">Version control should be used to manage all non-secret configuration files. </t>
  </si>
  <si>
    <t>Related objects should be grouped into a single file.</t>
  </si>
  <si>
    <t>Labels should be used to semantically identify objects.</t>
  </si>
  <si>
    <t>Configuration Management</t>
  </si>
  <si>
    <t>15.1.a</t>
  </si>
  <si>
    <t>15.1.b</t>
  </si>
  <si>
    <t>All configurations and container images should be tested in a production-like environment prior to deployment.</t>
  </si>
  <si>
    <t>Configuration standards that address all known security vulnerabilities and are consistent with industry-accepted hardening standards and vendor security guidance should be developed for all system components, including container orchestration tools.</t>
  </si>
  <si>
    <t>Segmentation</t>
  </si>
  <si>
    <t>16.1.a</t>
  </si>
  <si>
    <t>Where practical, higher security components should be placed on dedicated clusters. Where this is not possible, care should be taken to ensure complete segregation between workloads of different security levels.</t>
  </si>
  <si>
    <t>16.2.a</t>
  </si>
  <si>
    <t xml:space="preserve">Critical systems should run on dedicated nodes in any container orchestration cluster. </t>
  </si>
  <si>
    <t>16.3.a</t>
  </si>
  <si>
    <t xml:space="preserve">Split cluster node pools should be enforced such that a cluster user of the low-security applications cannot schedule workloads to the high-security nodes. </t>
  </si>
  <si>
    <t>16.4.a</t>
  </si>
  <si>
    <t xml:space="preserve">Workloads and users who manage individual applications running under the orchestration system should not have the rights to modify shared cluster resources, or any resources used by another application. </t>
  </si>
  <si>
    <t>CCSS score (by M365 Copilot)</t>
  </si>
  <si>
    <t>CCSS score</t>
  </si>
  <si>
    <t>AccessVector</t>
  </si>
  <si>
    <t>AccessComplexity</t>
  </si>
  <si>
    <t>Confidentiality</t>
  </si>
  <si>
    <t>Availability</t>
  </si>
  <si>
    <t>Integrity</t>
  </si>
  <si>
    <t>0.395 (local)</t>
  </si>
  <si>
    <t>0.646 (adj)</t>
  </si>
  <si>
    <t>1.0 (network)</t>
  </si>
  <si>
    <t>0.45 (multi auth)</t>
  </si>
  <si>
    <t>0.56 (single auth)</t>
  </si>
  <si>
    <t>0.704 (no auth)</t>
  </si>
  <si>
    <t>0.35 (high)</t>
  </si>
  <si>
    <t>0.61 (medium)</t>
  </si>
  <si>
    <t>0.71 (low)</t>
  </si>
  <si>
    <t>0.0 (none)</t>
  </si>
  <si>
    <t>0.275 (partial)</t>
  </si>
  <si>
    <t>0.660 (complete)</t>
  </si>
  <si>
    <t>Impact</t>
  </si>
  <si>
    <t>Exploitability</t>
  </si>
  <si>
    <t>f(Impact)</t>
  </si>
  <si>
    <t>CCSS rating</t>
  </si>
  <si>
    <t>Origin</t>
  </si>
  <si>
    <t>Origin-Numbering</t>
  </si>
  <si>
    <t>CIS Kubernetes 1.12</t>
  </si>
  <si>
    <t>NIS-CISA k8s hardening</t>
  </si>
  <si>
    <t>k8s STIG</t>
  </si>
  <si>
    <t>PCI Container Guidance</t>
  </si>
  <si>
    <t>KALM Benchmark check</t>
  </si>
  <si>
    <t>MS-M9001</t>
  </si>
  <si>
    <t>Multi-factor authentication</t>
  </si>
  <si>
    <t>MS-M9002</t>
  </si>
  <si>
    <t>Restrict access to the API server using IP firewall</t>
  </si>
  <si>
    <t>Adhere to least-privilege principle</t>
  </si>
  <si>
    <t>MS-M9004</t>
  </si>
  <si>
    <t>Secure CI/CD environment</t>
  </si>
  <si>
    <t>MS-M9005</t>
  </si>
  <si>
    <t>Image assurance policy</t>
  </si>
  <si>
    <t>Gate generated images in CI/CD pipeline</t>
  </si>
  <si>
    <t>Gate images pushed to registries</t>
  </si>
  <si>
    <t>Gate images deployed to Kubernetes cluster</t>
  </si>
  <si>
    <t>MS-M9006</t>
  </si>
  <si>
    <t>Enable Just In Time access to API server</t>
  </si>
  <si>
    <t>Network intrusion prevention</t>
  </si>
  <si>
    <t>Limit access to services over network</t>
  </si>
  <si>
    <t>MS-M9009</t>
  </si>
  <si>
    <t>Require strong authentication to services</t>
  </si>
  <si>
    <t>Restrict exec commands on pods</t>
  </si>
  <si>
    <t>Restrict container runtime using LSM</t>
  </si>
  <si>
    <t>Remove tools from container images</t>
  </si>
  <si>
    <t>Restrict over permissive containers</t>
  </si>
  <si>
    <t>Network segmentation</t>
  </si>
  <si>
    <t>Avoid running management interface on containers</t>
  </si>
  <si>
    <t>Restrict file and directory permissions</t>
  </si>
  <si>
    <t>Ensure that pods meet defined Pod Security Standards</t>
  </si>
  <si>
    <t>Restricting cloud metadata API access</t>
  </si>
  <si>
    <t>Collect logs to remote data storage</t>
  </si>
  <si>
    <t>Restrict the usage of unauthenticated APIs in the cluster</t>
  </si>
  <si>
    <t>Use managed secret store</t>
  </si>
  <si>
    <t>Remove unused secrets from the cluster</t>
  </si>
  <si>
    <t>Disable service account auto mount</t>
  </si>
  <si>
    <t>Avoid using plain text credentials</t>
  </si>
  <si>
    <t>Use NodeRestriction admission controller</t>
  </si>
  <si>
    <t>Use CNIs that are not prone to ARP poisoning</t>
  </si>
  <si>
    <t>Set requests and limits for containers</t>
  </si>
  <si>
    <t>Avoid using web-hosted manifest for Kubelet</t>
  </si>
  <si>
    <t>Restrict resource usage</t>
  </si>
  <si>
    <t>Resource Policies</t>
  </si>
  <si>
    <t>KALM Benchmark Implementations</t>
  </si>
  <si>
    <t>PS-002</t>
  </si>
  <si>
    <t>PSA-001</t>
  </si>
  <si>
    <t>PSA-002</t>
  </si>
  <si>
    <t>PSA-003</t>
  </si>
  <si>
    <t>Category</t>
  </si>
  <si>
    <t>Spec Container</t>
  </si>
  <si>
    <t>Resource Quota</t>
  </si>
  <si>
    <t>Pod Security Admission</t>
  </si>
  <si>
    <t>Network Policy</t>
  </si>
  <si>
    <t>LimitRange - CPU requests and limits for namespace</t>
  </si>
  <si>
    <t>LimitRange - Memory requests and limits for namespace</t>
  </si>
  <si>
    <t>ResourceQuota - CPU and Memory quota for namespace</t>
  </si>
  <si>
    <t>Memory requests - spec.containers</t>
  </si>
  <si>
    <t>Memory limits - spec.containers</t>
  </si>
  <si>
    <t>CPU requests - spec.containers</t>
  </si>
  <si>
    <t>CPU limits - spec.containers</t>
  </si>
  <si>
    <t>ephemeral storage requests - spec.containers</t>
  </si>
  <si>
    <t>ephemeral storage limits - spec.containers</t>
  </si>
  <si>
    <t>Unmanaged Pods</t>
  </si>
  <si>
    <t>ImagePullPolicy</t>
  </si>
  <si>
    <t>Specify exact image version (tag or digest) and do not use "latest"</t>
  </si>
  <si>
    <t>Item</t>
  </si>
  <si>
    <t>system:masters group is not used for user or component authentication after bootstrapping</t>
  </si>
  <si>
    <t>The kube-controller-manager is running with --use-service-account-credentials enabled.</t>
  </si>
  <si>
    <t>A process exists for periodic access review, and reviews occur no more than 24 months apart.</t>
  </si>
  <si>
    <t>The Role Based Access Control Good Practices are followed for guidance related to authentication and authorization.</t>
  </si>
  <si>
    <t>Security Checklist &amp; Application Security Checklist</t>
  </si>
  <si>
    <t>Origins</t>
  </si>
  <si>
    <t>https://kubernetes.io/docs/concepts/security/security-checklist/</t>
  </si>
  <si>
    <t>Network security</t>
  </si>
  <si>
    <t>CNI plugins in use support network policies.</t>
  </si>
  <si>
    <t>Ingress and egress network policies are applied to all workloads in the cluster.</t>
  </si>
  <si>
    <t>Default network policies within each namespace, selecting all pods, denying everything, are in place.</t>
  </si>
  <si>
    <t>If appropriate, a service mesh is used to encrypt all communications inside of the cluster.</t>
  </si>
  <si>
    <t>Access from the workloads to the cloud metadata API is filtered.</t>
  </si>
  <si>
    <t>Use of LoadBalancer and ExternalIPs is restricted.</t>
  </si>
  <si>
    <t>etcd datastore of the control plane should have controls to limit access and not be publicly exposed on the Internet</t>
  </si>
  <si>
    <t>mutual TLS (mTLS) should be used to communicate securely with etcd</t>
  </si>
  <si>
    <t>certificate authority for etcd should be unique</t>
  </si>
  <si>
    <t>External Internet access to the Kubernetes API server should be restricted to not expose the API publicly</t>
  </si>
  <si>
    <t>The kubelet API access should be restricted and not exposed publicly</t>
  </si>
  <si>
    <t>Pod security</t>
  </si>
  <si>
    <t>RBAC rights to create, update, patch, delete workloads is only granted if necessary</t>
  </si>
  <si>
    <t>Memory limit is set for the workloads with a limit equal or inferior to the request.</t>
  </si>
  <si>
    <t>CPU limit might be set on sensitive workloads.</t>
  </si>
  <si>
    <t>For nodes that support it, Seccomp is enabled with appropriate syscalls profile for programs.</t>
  </si>
  <si>
    <t>For nodes that support it, AppArmor or SELinux is enabled with appropriate profile for programs.</t>
  </si>
  <si>
    <t>Audit logs, if enabled, are protected from general access.</t>
  </si>
  <si>
    <t>Pod placement</t>
  </si>
  <si>
    <t>Pod placement is done in accordance with the tiers of sensitivity of the application.</t>
  </si>
  <si>
    <t>Sensitive applications are running isolated on nodes or with specific sandboxed runtimes.</t>
  </si>
  <si>
    <t>ConfigMaps are not used to hold confidential data.</t>
  </si>
  <si>
    <t>If appropriate, a mechanism to inject secrets stored in third-party storage is deployed and available.</t>
  </si>
  <si>
    <t>Service account tokens are not mounted in pods that don't require them.</t>
  </si>
  <si>
    <t>Bound service account token volume is in-use instead of non-expiring tokens.</t>
  </si>
  <si>
    <t>Pods needing secrets should have these automatically mounted through volumes, preferably stored in memory like with the emptyDir.medium option.</t>
  </si>
  <si>
    <t>Minimize unnecessary content in container images.</t>
  </si>
  <si>
    <t>Container images are configured to be run as unprivileged user.</t>
  </si>
  <si>
    <t>References to container images are made by sha256 digests (rather than tags) or the provenance of the image is validated by verifying the image's digital signature at deploy time via admission control.</t>
  </si>
  <si>
    <t>Container images are regularly scanned during creation and in deployment, and known vulnerable software is patched.</t>
  </si>
  <si>
    <t>image used in production should not contain shells or debugging utilities</t>
  </si>
  <si>
    <t>Build images to directly start with an unprivileged user</t>
  </si>
  <si>
    <t>The Security Context allows a container image to be started with a specific user and group with runAsUser and runAsGroup, even if not specified in the image manifest.</t>
  </si>
  <si>
    <t>Admission controllers</t>
  </si>
  <si>
    <t>An appropriate selection of admission controllers is enabled.</t>
  </si>
  <si>
    <t>A pod security policy is enforced by the Pod Security Admission or/and a webhook admission controller.</t>
  </si>
  <si>
    <t>The admission chain plugins and webhooks are securely configured.</t>
  </si>
  <si>
    <t>CertificateApproval - Performs additional authorization checks to ensure the approving user has permission to approve certificate request.</t>
  </si>
  <si>
    <t>CertificateSigning - Performs additional authorization checks to ensure the signing user has permission to sign certificate requests.</t>
  </si>
  <si>
    <t>CertificateSubjectRestriction - Rejects any certificate request that specifies a 'group' (or 'organization attribute') of system:masters.</t>
  </si>
  <si>
    <t>LimitRanger - Enforces the LimitRange API constraints.</t>
  </si>
  <si>
    <t>MutatingAdmissionWebhook - Allows the use of custom controllers through webhooks, these controllers may mutate requests that they review.</t>
  </si>
  <si>
    <t>PodSecurity - Replacement for Pod Security Policy, restricts security contexts of deployed Pods.</t>
  </si>
  <si>
    <t>ResourceQuota - Enforces resource quotas to prevent over-usage of resources.</t>
  </si>
  <si>
    <t>ValidatingAdmissionWebhook - Allows the use of custom controllers through webhooks, these controllers do not mutate requests that it reviews.</t>
  </si>
  <si>
    <t>DenyServiceExternalIPs - Rejects all net-new usage of the Service.spec.externalIPs field. This is a mitigation for CVE-2020-8554: Man in the middle using LoadBalancer or ExternalIPs.</t>
  </si>
  <si>
    <t>NodeRestriction - Restricts kubelet's permissions to only modify the pods API resources they own or the node API resource that represent themselves.</t>
  </si>
  <si>
    <t>AlwaysPullImages - Enforces the usage of the latest version of a tagged image and ensures that the deployer has permissions to use the image.</t>
  </si>
  <si>
    <t>ImagePolicyWebhook - Allows enforcing additional controls for images through webhooks.</t>
  </si>
  <si>
    <t>https://kubernetes.io/docs/concepts/security/application-security-checklist/</t>
  </si>
  <si>
    <t>Application design</t>
  </si>
  <si>
    <t>Follow the right security principles when designing applications.</t>
  </si>
  <si>
    <t>Memory limit is set for the workloads with a limit equal to or greater than the request.</t>
  </si>
  <si>
    <t>Service account</t>
  </si>
  <si>
    <t>Avoid using the default ServiceAccount. Instead, create ServiceAccounts for each workload or microservice.</t>
  </si>
  <si>
    <t>automountServiceAccountToken should be set to false unless the pod specifically requires access to the Kubernetes API to operate.</t>
  </si>
  <si>
    <t>Pod-level securityContext recommendations</t>
  </si>
  <si>
    <t>Set runAsNonRoot: true.</t>
  </si>
  <si>
    <t>Configure the container to execute as a less privileged user (for example, using runAsUser and runAsGroup), and configure appropriate permissions on files or directories inside the container image.</t>
  </si>
  <si>
    <t>Optionally add a supplementary group with fsGroup to access persistent volumes.</t>
  </si>
  <si>
    <t>The application deploys into a namespace that enforces an appropriate Pod security standard. </t>
  </si>
  <si>
    <t>Container-level securityContext recommendations</t>
  </si>
  <si>
    <t>Disable privilege escalations using allowPrivilegeEscalation: false.</t>
  </si>
  <si>
    <t>Configure the root filesystem to be read-only with readOnlyRootFilesystem: true.</t>
  </si>
  <si>
    <t>Avoid running privileged containers (set privileged: false).</t>
  </si>
  <si>
    <t>Drop all capabilities from the containers and add back only specific ones that are needed for operation of the container.</t>
  </si>
  <si>
    <t>Security Checklist</t>
  </si>
  <si>
    <t>Application Security Checklist</t>
  </si>
  <si>
    <t>Role Based Access Control</t>
  </si>
  <si>
    <t>Permissions such as create, patch, update and delete should be only granted if necessary.</t>
  </si>
  <si>
    <t>Avoid creating RBAC permissions to create or update roles which can lead to privilege escalation.</t>
  </si>
  <si>
    <t>Review bindings for the system:unauthenticated group and remove them where possible, as this gives access to anyone who can contact the API server at a network level.</t>
  </si>
  <si>
    <t>Image security</t>
  </si>
  <si>
    <t>Using an image scanning tool to scan an image before deploying containers in the Kubernetes cluster.</t>
  </si>
  <si>
    <t>Use container signing to validate the container image signature before deploying to the Kubernetes cluster.</t>
  </si>
  <si>
    <t>Configure NetworkPolicies to only allow expected ingress and egress traffic from the pods.</t>
  </si>
  <si>
    <t>Linux container security</t>
  </si>
  <si>
    <t>Set the Seccomp Profile for a Container</t>
  </si>
  <si>
    <t>Restrict a Container's Access to Resources with AppArmor</t>
  </si>
  <si>
    <t>Assign SELinux Labels to a Container</t>
  </si>
  <si>
    <t>Configure appropriate runtime classes for containers</t>
  </si>
  <si>
    <t>Runtime classes</t>
  </si>
  <si>
    <t>k8s security checklists</t>
  </si>
  <si>
    <t>k8s security checklist</t>
  </si>
  <si>
    <t>References to container images are made by sha256 digests (rather than tags)</t>
  </si>
  <si>
    <t>see C26</t>
  </si>
  <si>
    <t>Review bindings for the system:unauthenticated group</t>
  </si>
  <si>
    <t>Network Policies</t>
  </si>
  <si>
    <t>CIS K8S STIG</t>
  </si>
  <si>
    <t>CIS K8S Benchmark 1.12</t>
  </si>
  <si>
    <t>NSA-CISA K8S hardening</t>
  </si>
  <si>
    <t>BSI K8S</t>
  </si>
  <si>
    <t>MS TM 4 K8S</t>
  </si>
  <si>
    <t>K8S Security Checklists</t>
  </si>
  <si>
    <t>Secrets should never be included in application images. Where secrets are required during the building of an image (for example to provide credentials for accessing source code - this process should leverage container builder techniques to ensure that the secret will not be present in the final image)</t>
  </si>
  <si>
    <t>CertificateApproval admission controller should be enabled</t>
  </si>
  <si>
    <t>CertificateSigning admission controller should be enabled</t>
  </si>
  <si>
    <t>LimitRanger admission controller should be enabled</t>
  </si>
  <si>
    <t>MutatingAdmissionWebhook admission controller should be enabled</t>
  </si>
  <si>
    <t>ResourceQuota admission controller should be enabled</t>
  </si>
  <si>
    <t>CertificateSubjectRestriction admission controller should be enabled</t>
  </si>
  <si>
    <t>Consider use of a service mesh</t>
  </si>
  <si>
    <t>higher security components should be placed on dedicated clusters</t>
  </si>
  <si>
    <t>Critical systems should run on dedicated nodes</t>
  </si>
  <si>
    <t>Split cluster node pools should be enforced</t>
  </si>
  <si>
    <t>Target</t>
  </si>
  <si>
    <t>Current</t>
  </si>
  <si>
    <t>Not mapped</t>
  </si>
  <si>
    <t>Mapped %</t>
  </si>
  <si>
    <t>Unmapped %</t>
  </si>
  <si>
    <t>OWASP Kubernetes Security Cheat Sheet</t>
  </si>
  <si>
    <t>S1 - Securing Kubernetes Hosts</t>
  </si>
  <si>
    <t>Updating Kubernetes</t>
  </si>
  <si>
    <t>S2 - Securing Kubernetes Components</t>
  </si>
  <si>
    <t>Securing the Kubernetes Dashboard</t>
  </si>
  <si>
    <t>Restricting Access To etcd</t>
  </si>
  <si>
    <t>Limiting access to the primary etcd instance</t>
  </si>
  <si>
    <t>Controlling Network Access to Sensitive Ports</t>
  </si>
  <si>
    <t>Controlling Access To The Kubernetes API</t>
  </si>
  <si>
    <t>How Kubernetes handles API authorization</t>
  </si>
  <si>
    <t>External API Authentication for Kubernetes</t>
  </si>
  <si>
    <t>Options for Kubernetes Built-In API Authentication</t>
  </si>
  <si>
    <t>Implementing Role-Based Access Control in Kubernetes</t>
  </si>
  <si>
    <t>Limiting access to the Kubelets</t>
  </si>
  <si>
    <t>S3 - Kubernetes Security Best Practices: Build Phase</t>
  </si>
  <si>
    <t>What is a container image</t>
  </si>
  <si>
    <t>Ensure that CIs are up to date</t>
  </si>
  <si>
    <t>Only use authorized images in Your environment</t>
  </si>
  <si>
    <t>Use a CI Pipeline To Control and Identify Vulnerabilities</t>
  </si>
  <si>
    <t>Minimize Features in All CIs</t>
  </si>
  <si>
    <t>Use distroless or empty images when possible</t>
  </si>
  <si>
    <t>S4 - Kubernetes Security Best Practices: Deploy Phase</t>
  </si>
  <si>
    <t>Code that uses namespaces to isolate Kubernetes resources</t>
  </si>
  <si>
    <t>Use the ImagePolicyWebhook to govern image provenance</t>
  </si>
  <si>
    <t>Implement continuous security vulnerability scanning</t>
  </si>
  <si>
    <t>Apply security context to your pods and containers</t>
  </si>
  <si>
    <t>Security context example: A pod definition that includes security context parameters</t>
  </si>
  <si>
    <t>Continuously assess the privileges used by containers</t>
  </si>
  <si>
    <t>Utilize Pod Security Standards and the Built-in Pod Security Admission Controller to enforce container privilege levels</t>
  </si>
  <si>
    <t>Use Pod security policies to control the security-related attributes of pods, which includes container privilege levels</t>
  </si>
  <si>
    <t>Providing extra security with a service mesh</t>
  </si>
  <si>
    <t>Advantages of a service mesh</t>
  </si>
  <si>
    <t>Disadvantages of a security mesh</t>
  </si>
  <si>
    <t>Implementing centralized policy management</t>
  </si>
  <si>
    <t>Most common use cases of OPA</t>
  </si>
  <si>
    <t>Securing data</t>
  </si>
  <si>
    <t>Keep secrets a secret</t>
  </si>
  <si>
    <t>S5 - Kubernetes Security Best Practices: Runtime Phase</t>
  </si>
  <si>
    <t>Use Pod Security Admission to prevent risky containers / Pods from being deployed</t>
  </si>
  <si>
    <t>Container Sandboxing</t>
  </si>
  <si>
    <t>Prevent containers from loading unwanted kernel modules</t>
  </si>
  <si>
    <t>Compare and analyze different runtime activity in pods of the same deployments</t>
  </si>
  <si>
    <t>Monitor network traffic to limit unnecessary or insecure communication</t>
  </si>
  <si>
    <t>If breached, scale suspicious pods to zero</t>
  </si>
  <si>
    <t>Rotate infrastructure credentials frequently</t>
  </si>
  <si>
    <t xml:space="preserve">Enable audit logging </t>
  </si>
  <si>
    <t>Define Audit Policies</t>
  </si>
  <si>
    <t>Understand Logging</t>
  </si>
  <si>
    <t>Events</t>
  </si>
  <si>
    <t>S6 - Securing a managed-service Kubernetes on Cloud Service Provider</t>
  </si>
  <si>
    <t>AWS</t>
  </si>
  <si>
    <t>S7 - Final Thoughts</t>
  </si>
  <si>
    <t>Embed security into the container lifecycle as early as possible</t>
  </si>
  <si>
    <t>Use Kubernetes-native security controls to reduce operational risk</t>
  </si>
  <si>
    <t>Leverage the context that Kubernetes provides to prioritize remediation efforts</t>
  </si>
  <si>
    <t>Origin:</t>
  </si>
  <si>
    <t>OWASP K8S Cheat Sheet</t>
  </si>
  <si>
    <t>Title:</t>
  </si>
  <si>
    <t>Version:</t>
  </si>
  <si>
    <t>Pods with high risk workloads are assigned to specific nodes</t>
  </si>
  <si>
    <t>No readiness probe configured</t>
  </si>
  <si>
    <t>No liveness probe configured</t>
  </si>
  <si>
    <t>Pods with high risk workloads are assigned to higher PriorityClasses</t>
  </si>
  <si>
    <t>A readiness probe is specified for a pod</t>
  </si>
  <si>
    <t>A liveness probe is specified for a pod</t>
  </si>
  <si>
    <t>Critical systems should be assigned to a higher PriorityClass</t>
  </si>
  <si>
    <t>Other</t>
  </si>
  <si>
    <t>Minimize access to modify network policies</t>
  </si>
  <si>
    <t>Minimize access to escalate privileges</t>
  </si>
  <si>
    <t>Too many roles per subject</t>
  </si>
  <si>
    <t>Minimize roles per subject</t>
  </si>
  <si>
    <t>Service accounts should be bound to roles</t>
  </si>
  <si>
    <t>NIS-CISA</t>
  </si>
  <si>
    <t>All service accounts should be bound to roles</t>
  </si>
  <si>
    <t>Minimize access to configmaps</t>
  </si>
  <si>
    <t>Minimize access to specific configmaps</t>
  </si>
  <si>
    <t>needs refinement</t>
  </si>
  <si>
    <t>Do not delete Kubernetes events</t>
  </si>
  <si>
    <t>Don't allow to delete events</t>
  </si>
  <si>
    <t>Minimize permissions to delete resources</t>
  </si>
  <si>
    <t>Minimize permission to list resources</t>
  </si>
  <si>
    <t>Minimize permission to delete resources</t>
  </si>
  <si>
    <t>Minimize permissions to list resources</t>
  </si>
  <si>
    <t>Minimize bind permissions</t>
  </si>
  <si>
    <t>Minimize impersonate permissions</t>
  </si>
  <si>
    <t>Minimize permissions for portforwarding</t>
  </si>
  <si>
    <t>Default service account should never be actively used</t>
  </si>
  <si>
    <t>Attackers can run malicious commands in containers using exec command</t>
  </si>
  <si>
    <t>Restrict exec command on pods</t>
  </si>
  <si>
    <t>Minimize permissions to create pods</t>
  </si>
  <si>
    <t>Ensure cluster-admin is only used where required</t>
  </si>
  <si>
    <t>Warnings do not prevent deployment of insecure workloads</t>
  </si>
  <si>
    <t>Privileged pod security level on namespaces imposes no restrictions</t>
  </si>
  <si>
    <t>A pod security level should be specified for the namespace</t>
  </si>
  <si>
    <t>Privileged pod security level imposes no restrictions</t>
  </si>
  <si>
    <t>Volume mount with subPath or subPathExpr</t>
  </si>
  <si>
    <t>mount of docker socket</t>
  </si>
  <si>
    <t>mount of azure credentials file</t>
  </si>
  <si>
    <t>rework description in rule</t>
  </si>
  <si>
    <t>mount of hostPath</t>
  </si>
  <si>
    <t>keep default capabilities</t>
  </si>
  <si>
    <t>adding insecure capabilities</t>
  </si>
  <si>
    <t>adding dangerous capabilities</t>
  </si>
  <si>
    <t>immutable file system should be used</t>
  </si>
  <si>
    <t>privileged container</t>
  </si>
  <si>
    <t>allowPrivilegeEscalation</t>
  </si>
  <si>
    <t>no security context</t>
  </si>
  <si>
    <t>do not use secrets in environment variables</t>
  </si>
  <si>
    <t>attackers who can run a cmd/bash script can use it to execute malicious code</t>
  </si>
  <si>
    <t>not providing a seccomp profile allows more capabilities than necessary</t>
  </si>
  <si>
    <t>hardening via apparmor or selinux or seccomp</t>
  </si>
  <si>
    <t>do not use unsafe sysctls</t>
  </si>
  <si>
    <t>for refinement see https://kubernetes.io/docs/tasks/administer-cluster/sysctl-cluster/</t>
  </si>
  <si>
    <t>do not run with default GID 0</t>
  </si>
  <si>
    <t>runAsUser</t>
  </si>
  <si>
    <t>runAsNonRoot</t>
  </si>
  <si>
    <t>podSecurityContext</t>
  </si>
  <si>
    <t>use seccomp</t>
  </si>
  <si>
    <t>use apparmor</t>
  </si>
  <si>
    <t>use of deprecated serviceAccount instead of serviceAccountName</t>
  </si>
  <si>
    <t>managing /etc/hosts can prevent Docker from modifying it</t>
  </si>
  <si>
    <t>(deprecated?)</t>
  </si>
  <si>
    <t>minimize usage of hostPorts</t>
  </si>
  <si>
    <t>minimize usage of hostNetwork</t>
  </si>
  <si>
    <t>minimize usage of hostIPC</t>
  </si>
  <si>
    <t>minimize usage of hostPID</t>
  </si>
  <si>
    <t>automountServiceAccountToken</t>
  </si>
  <si>
    <t>do not use default serviceAccount</t>
  </si>
  <si>
    <t>do not place pods in existing namespaces</t>
  </si>
  <si>
    <t>do not place pods in default namespace</t>
  </si>
  <si>
    <t>network policy refering to non-existing workload</t>
  </si>
  <si>
    <t>network policy allowing access to kubelet</t>
  </si>
  <si>
    <t>network policy allowing access to cloud metadata API</t>
  </si>
  <si>
    <t>network policy blocking ingress and egress</t>
  </si>
  <si>
    <t>Namespace without network policy</t>
  </si>
  <si>
    <t>storing secretes in ConfigMap</t>
  </si>
  <si>
    <t>RBAC-023</t>
  </si>
  <si>
    <t>Minimize access to proxy sub-resource</t>
  </si>
  <si>
    <t>Minimize access to network policies</t>
  </si>
  <si>
    <t>RBAC-024</t>
  </si>
  <si>
    <t>Minimize access to approval sub-resource</t>
  </si>
  <si>
    <t>RBAC-025</t>
  </si>
  <si>
    <t>Minimize access to webhook configurations</t>
  </si>
  <si>
    <t>RBAC-026</t>
  </si>
  <si>
    <t>Minimize access to create service account tokens</t>
  </si>
  <si>
    <t>RBAC-027</t>
  </si>
  <si>
    <t>Allowing roles to attach to pods</t>
  </si>
  <si>
    <t>Bindings to system:anonymous and system:unauthenticated should be reviewed</t>
  </si>
  <si>
    <t>POD-046</t>
  </si>
  <si>
    <t>KALM Benchmark</t>
  </si>
  <si>
    <t>NSA-CISA k8s hardening</t>
  </si>
  <si>
    <t>Minimize the admission of Windows HostProcess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</si>
</sst>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409]#,##0.00;[Red]\-[$$-409]#,##0.00"/>
  </numFmts>
  <fonts count="11">
    <font>
      <sz val="10"/>
      <name val="Arial"/>
      <family val="2"/>
    </font>
    <font>
      <b/>
      <sz val="10"/>
      <color rgb="FF000000"/>
      <name val="Arial"/>
      <family val="2"/>
    </font>
    <font>
      <sz val="10"/>
      <color rgb="FFC0C0C0"/>
      <name val="Arial"/>
      <family val="2"/>
    </font>
    <font>
      <b/>
      <sz val="10"/>
      <name val="Arial"/>
      <family val="2"/>
    </font>
    <font>
      <sz val="10"/>
      <name val="Arial"/>
      <family val="2"/>
    </font>
    <font>
      <u/>
      <sz val="10"/>
      <color theme="10"/>
      <name val="Arial"/>
      <family val="2"/>
    </font>
    <font>
      <sz val="11"/>
      <color rgb="FF1A1A1A"/>
      <name val="OpenSans"/>
      <charset val="1"/>
    </font>
    <font>
      <sz val="8"/>
      <name val="Arial"/>
      <family val="2"/>
    </font>
    <font>
      <b/>
      <sz val="13"/>
      <color theme="3"/>
      <name val="Calibri"/>
      <family val="2"/>
      <scheme val="minor"/>
    </font>
    <font>
      <b/>
      <sz val="15"/>
      <color theme="3"/>
      <name val="Calibri"/>
      <family val="2"/>
      <scheme val="minor"/>
    </font>
    <font>
      <b/>
      <sz val="11"/>
      <color theme="3"/>
      <name val="Calibri"/>
      <family val="2"/>
      <scheme val="minor"/>
    </font>
  </fonts>
  <fills count="6">
    <fill>
      <patternFill patternType="none"/>
    </fill>
    <fill>
      <patternFill patternType="gray125"/>
    </fill>
    <fill>
      <patternFill patternType="solid">
        <fgColor rgb="FFE6E6E6"/>
        <bgColor rgb="FFE6E6FF"/>
      </patternFill>
    </fill>
    <fill>
      <patternFill patternType="solid">
        <fgColor rgb="FF000080"/>
        <bgColor rgb="FF000080"/>
      </patternFill>
    </fill>
    <fill>
      <patternFill patternType="solid">
        <fgColor rgb="FFE6E6FF"/>
        <bgColor rgb="FFE6E6E6"/>
      </patternFill>
    </fill>
    <fill>
      <patternFill patternType="solid">
        <fgColor rgb="FFFFFF00"/>
        <bgColor indexed="64"/>
      </patternFill>
    </fill>
  </fills>
  <borders count="21">
    <border>
      <left/>
      <right/>
      <top/>
      <bottom/>
      <diagonal/>
    </border>
    <border>
      <left style="hair">
        <color auto="1"/>
      </left>
      <right style="hair">
        <color auto="1"/>
      </right>
      <top style="hair">
        <color auto="1"/>
      </top>
      <bottom style="hair">
        <color auto="1"/>
      </bottom>
      <diagonal/>
    </border>
    <border>
      <left style="hair">
        <color rgb="FF000080"/>
      </left>
      <right/>
      <top style="hair">
        <color rgb="FF000080"/>
      </top>
      <bottom/>
      <diagonal/>
    </border>
    <border>
      <left/>
      <right/>
      <top style="hair">
        <color rgb="FF000080"/>
      </top>
      <bottom/>
      <diagonal/>
    </border>
    <border>
      <left/>
      <right style="hair">
        <color rgb="FF000080"/>
      </right>
      <top style="hair">
        <color rgb="FF000080"/>
      </top>
      <bottom/>
      <diagonal/>
    </border>
    <border>
      <left style="hair">
        <color rgb="FF000080"/>
      </left>
      <right/>
      <top/>
      <bottom/>
      <diagonal/>
    </border>
    <border>
      <left/>
      <right style="hair">
        <color rgb="FF000080"/>
      </right>
      <top/>
      <bottom/>
      <diagonal/>
    </border>
    <border>
      <left/>
      <right/>
      <top/>
      <bottom style="hair">
        <color rgb="FF000080"/>
      </bottom>
      <diagonal/>
    </border>
    <border>
      <left style="hair">
        <color rgb="FF000080"/>
      </left>
      <right/>
      <top/>
      <bottom style="hair">
        <color rgb="FF000080"/>
      </bottom>
      <diagonal/>
    </border>
    <border>
      <left/>
      <right style="hair">
        <color rgb="FF000080"/>
      </right>
      <top/>
      <bottom style="hair">
        <color rgb="FF000080"/>
      </bottom>
      <diagonal/>
    </border>
    <border>
      <left style="hair">
        <color rgb="FF000080"/>
      </left>
      <right style="hair">
        <color rgb="FF000080"/>
      </right>
      <top style="hair">
        <color rgb="FF000080"/>
      </top>
      <bottom style="hair">
        <color rgb="FF000080"/>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9">
    <xf numFmtId="164" fontId="0" fillId="0" borderId="0">
      <alignment vertical="center"/>
    </xf>
    <xf numFmtId="165" fontId="1" fillId="2" borderId="1" applyProtection="0">
      <alignment vertical="center"/>
    </xf>
    <xf numFmtId="164" fontId="2" fillId="3" borderId="0" applyBorder="0" applyProtection="0">
      <alignment vertical="center"/>
    </xf>
    <xf numFmtId="164" fontId="4" fillId="4" borderId="0" applyBorder="0" applyProtection="0">
      <alignment horizontal="right" vertical="center" wrapText="1"/>
    </xf>
    <xf numFmtId="165" fontId="4" fillId="0" borderId="1">
      <alignment vertical="center"/>
      <protection locked="0"/>
    </xf>
    <xf numFmtId="164" fontId="4" fillId="4" borderId="2" applyProtection="0">
      <alignment horizontal="right" vertical="center" wrapText="1"/>
    </xf>
    <xf numFmtId="164" fontId="4" fillId="4" borderId="3" applyProtection="0">
      <alignment horizontal="right" vertical="center" wrapText="1"/>
    </xf>
    <xf numFmtId="164" fontId="4" fillId="4" borderId="4" applyProtection="0">
      <alignment horizontal="right" vertical="center" wrapText="1"/>
    </xf>
    <xf numFmtId="164" fontId="4" fillId="4" borderId="5" applyProtection="0">
      <alignment horizontal="right" vertical="center" wrapText="1"/>
    </xf>
    <xf numFmtId="164" fontId="4" fillId="4" borderId="6" applyProtection="0">
      <alignment horizontal="right" vertical="center" wrapText="1"/>
    </xf>
    <xf numFmtId="164" fontId="4" fillId="4" borderId="7" applyProtection="0">
      <alignment horizontal="right" vertical="center" wrapText="1"/>
    </xf>
    <xf numFmtId="164" fontId="4" fillId="4" borderId="8" applyProtection="0">
      <alignment horizontal="right" vertical="center" wrapText="1"/>
    </xf>
    <xf numFmtId="164" fontId="4" fillId="4" borderId="9" applyProtection="0">
      <alignment horizontal="right" vertical="center" wrapText="1"/>
    </xf>
    <xf numFmtId="164" fontId="4" fillId="4" borderId="10" applyProtection="0">
      <alignment horizontal="center" wrapText="1"/>
    </xf>
    <xf numFmtId="164" fontId="5" fillId="0" borderId="0" applyNumberFormat="0" applyFill="0" applyBorder="0" applyAlignment="0" applyProtection="0">
      <alignment vertical="center"/>
    </xf>
    <xf numFmtId="0" fontId="8" fillId="0" borderId="11" applyNumberFormat="0" applyFill="0" applyAlignment="0" applyProtection="0"/>
    <xf numFmtId="0" fontId="9" fillId="0" borderId="12" applyNumberFormat="0" applyFill="0" applyAlignment="0" applyProtection="0"/>
    <xf numFmtId="0" fontId="10" fillId="0" borderId="13" applyNumberFormat="0" applyFill="0" applyAlignment="0" applyProtection="0"/>
    <xf numFmtId="9" fontId="4" fillId="0" borderId="0" applyFont="0" applyFill="0" applyBorder="0" applyAlignment="0" applyProtection="0"/>
  </cellStyleXfs>
  <cellXfs count="30">
    <xf numFmtId="164" fontId="0" fillId="0" borderId="0" xfId="0">
      <alignment vertical="center"/>
    </xf>
    <xf numFmtId="164" fontId="0" fillId="0" borderId="0" xfId="0" applyAlignment="1">
      <alignment horizontal="left" vertical="center"/>
    </xf>
    <xf numFmtId="164" fontId="3" fillId="0" borderId="0" xfId="0" applyFont="1">
      <alignment vertical="center"/>
    </xf>
    <xf numFmtId="164" fontId="5" fillId="0" borderId="0" xfId="14">
      <alignment vertical="center"/>
    </xf>
    <xf numFmtId="164" fontId="8" fillId="0" borderId="11" xfId="15" applyNumberFormat="1" applyAlignment="1">
      <alignment vertical="center"/>
    </xf>
    <xf numFmtId="164" fontId="0" fillId="0" borderId="0" xfId="0" applyAlignment="1">
      <alignment horizontal="left" vertical="top"/>
    </xf>
    <xf numFmtId="164" fontId="8" fillId="0" borderId="11" xfId="15" applyNumberFormat="1" applyFill="1" applyAlignment="1">
      <alignment vertical="center"/>
    </xf>
    <xf numFmtId="164" fontId="3" fillId="0" borderId="0" xfId="0" applyFont="1" applyAlignment="1">
      <alignment horizontal="left" vertical="center"/>
    </xf>
    <xf numFmtId="164" fontId="10" fillId="0" borderId="13" xfId="17" applyNumberFormat="1" applyAlignment="1">
      <alignment vertical="center"/>
    </xf>
    <xf numFmtId="164" fontId="9" fillId="0" borderId="12" xfId="16" applyNumberFormat="1" applyAlignment="1">
      <alignment vertical="center"/>
    </xf>
    <xf numFmtId="164" fontId="8" fillId="0" borderId="11" xfId="15" applyNumberFormat="1" applyAlignment="1">
      <alignment horizontal="left" vertical="center"/>
    </xf>
    <xf numFmtId="164" fontId="10" fillId="0" borderId="13" xfId="17" applyNumberFormat="1" applyAlignment="1">
      <alignment horizontal="left" vertical="center"/>
    </xf>
    <xf numFmtId="164" fontId="9" fillId="0" borderId="12" xfId="16" applyNumberFormat="1" applyFill="1" applyAlignment="1">
      <alignment vertical="center"/>
    </xf>
    <xf numFmtId="14" fontId="0" fillId="0" borderId="0" xfId="0" applyNumberFormat="1">
      <alignment vertical="center"/>
    </xf>
    <xf numFmtId="164" fontId="0" fillId="0" borderId="0" xfId="0" applyAlignment="1">
      <alignment horizontal="right" vertical="center"/>
    </xf>
    <xf numFmtId="164" fontId="6" fillId="0" borderId="14" xfId="0" applyFont="1" applyBorder="1">
      <alignment vertical="center"/>
    </xf>
    <xf numFmtId="164" fontId="6" fillId="0" borderId="16" xfId="0" applyFont="1" applyBorder="1">
      <alignment vertical="center"/>
    </xf>
    <xf numFmtId="164" fontId="3" fillId="0" borderId="15" xfId="0" applyFont="1" applyBorder="1">
      <alignment vertical="center"/>
    </xf>
    <xf numFmtId="164" fontId="6" fillId="0" borderId="18" xfId="0" applyFont="1" applyBorder="1">
      <alignment vertical="center"/>
    </xf>
    <xf numFmtId="164" fontId="6" fillId="0" borderId="19" xfId="0" applyFont="1" applyBorder="1">
      <alignment vertical="center"/>
    </xf>
    <xf numFmtId="164" fontId="3" fillId="0" borderId="17" xfId="0" applyFont="1" applyBorder="1">
      <alignment vertical="center"/>
    </xf>
    <xf numFmtId="164" fontId="0" fillId="0" borderId="14" xfId="0" applyBorder="1">
      <alignment vertical="center"/>
    </xf>
    <xf numFmtId="164" fontId="0" fillId="0" borderId="20" xfId="0" applyBorder="1">
      <alignment vertical="center"/>
    </xf>
    <xf numFmtId="164" fontId="3" fillId="0" borderId="16" xfId="0" applyFont="1" applyBorder="1">
      <alignment vertical="center"/>
    </xf>
    <xf numFmtId="9" fontId="4" fillId="0" borderId="14" xfId="18" applyFont="1" applyBorder="1" applyAlignment="1">
      <alignment vertical="center"/>
    </xf>
    <xf numFmtId="9" fontId="0" fillId="0" borderId="14" xfId="18" applyFont="1" applyBorder="1" applyAlignment="1">
      <alignment vertical="center"/>
    </xf>
    <xf numFmtId="14" fontId="0" fillId="0" borderId="0" xfId="0" applyNumberFormat="1" applyAlignment="1">
      <alignment horizontal="left" vertical="center"/>
    </xf>
    <xf numFmtId="164" fontId="0" fillId="5" borderId="0" xfId="0" applyFill="1">
      <alignment vertical="center"/>
    </xf>
    <xf numFmtId="164" fontId="3" fillId="0" borderId="14" xfId="0" applyFont="1" applyBorder="1" applyAlignment="1">
      <alignment horizontal="center" vertical="center"/>
    </xf>
    <xf numFmtId="164" fontId="0" fillId="0" borderId="0" xfId="0" applyAlignment="1">
      <alignment horizontal="left" vertical="top"/>
    </xf>
  </cellXfs>
  <cellStyles count="19">
    <cellStyle name="Background" xfId="2" xr:uid="{00000000-0005-0000-0000-000007000000}"/>
    <cellStyle name="Card" xfId="3" xr:uid="{00000000-0005-0000-0000-000008000000}"/>
    <cellStyle name="Card B" xfId="10" xr:uid="{00000000-0005-0000-0000-00000F000000}"/>
    <cellStyle name="Card BL" xfId="11" xr:uid="{00000000-0005-0000-0000-000010000000}"/>
    <cellStyle name="Card BR" xfId="12" xr:uid="{00000000-0005-0000-0000-000011000000}"/>
    <cellStyle name="Card L" xfId="8" xr:uid="{00000000-0005-0000-0000-00000D000000}"/>
    <cellStyle name="Card R" xfId="9" xr:uid="{00000000-0005-0000-0000-00000E000000}"/>
    <cellStyle name="Card T" xfId="6" xr:uid="{00000000-0005-0000-0000-00000B000000}"/>
    <cellStyle name="Card TL" xfId="5" xr:uid="{00000000-0005-0000-0000-00000A000000}"/>
    <cellStyle name="Card TR" xfId="7" xr:uid="{00000000-0005-0000-0000-00000C000000}"/>
    <cellStyle name="Column Header" xfId="13" xr:uid="{00000000-0005-0000-0000-000012000000}"/>
    <cellStyle name="Heading 1" xfId="16" builtinId="16"/>
    <cellStyle name="Heading 2" xfId="15" builtinId="17"/>
    <cellStyle name="Heading 3" xfId="17" builtinId="18"/>
    <cellStyle name="Hyperlink" xfId="14" builtinId="8"/>
    <cellStyle name="Input" xfId="4" xr:uid="{00000000-0005-0000-0000-000009000000}"/>
    <cellStyle name="Normal" xfId="0" builtinId="0"/>
    <cellStyle name="Percent" xfId="18" builtinId="5"/>
    <cellStyle name="Result2" xfId="1" xr:uid="{00000000-0005-0000-0000-000006000000}"/>
  </cellStyles>
  <dxfs count="18">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indexedColors>
      <rgbColor rgb="FF000000"/>
      <rgbColor rgb="FFE6E6FF"/>
      <rgbColor rgb="FFFF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E6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EB9C"/>
      <color rgb="FFFFC7CE"/>
      <color rgb="FFFEC7FF"/>
      <color rgb="FFE2BAFF"/>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eger, Michael" id="{C2E6993C-1211-4F96-A359-1CC695DC900D}" userId="S::michael.krieger@dynatrace.com::1529be75-b84b-4745-b36b-e2c71b0e452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5-10-09T14:13:58.34" personId="{C2E6993C-1211-4F96-A359-1CC695DC900D}" id="{3EEBAF7D-86EF-48B8-A182-40BA9E9211C4}">
    <text>The element affected by the specified control is only accessible from the local system.</text>
  </threadedComment>
  <threadedComment ref="L2" dT="2025-10-09T14:14:17.66" personId="{C2E6993C-1211-4F96-A359-1CC695DC900D}" id="{32D5A4BF-A570-44E5-8D0F-F07B1D7291D5}">
    <text>The element affected by the specified control is only accessible from within the kubernetes cluster.</text>
  </threadedComment>
  <threadedComment ref="L3" dT="2025-10-09T14:14:42.84" personId="{C2E6993C-1211-4F96-A359-1CC695DC900D}" id="{1F22BBF8-C51C-4702-BB0F-64283802FE21}">
    <text>The element affected by the specified control is accessible a larger network/the internet.</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hyperlink" Target="https://cheatsheetseries.owasp.org/cheatsheets/Kubernetes_Security_Cheat_Shee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B0D97-32EE-4025-A2FD-BBD304630821}">
  <dimension ref="A3:K25"/>
  <sheetViews>
    <sheetView zoomScale="90" zoomScaleNormal="90" workbookViewId="0">
      <selection activeCell="K32" sqref="K32"/>
    </sheetView>
  </sheetViews>
  <sheetFormatPr defaultRowHeight="13.2"/>
  <cols>
    <col min="1" max="1" width="13.77734375" bestFit="1" customWidth="1"/>
    <col min="2" max="2" width="28.44140625" bestFit="1" customWidth="1"/>
    <col min="3" max="3" width="23" bestFit="1" customWidth="1"/>
    <col min="4" max="4" width="23.5546875" bestFit="1" customWidth="1"/>
    <col min="5" max="5" width="13" bestFit="1" customWidth="1"/>
    <col min="6" max="6" width="8.109375" bestFit="1" customWidth="1"/>
    <col min="7" max="7" width="22.6640625" bestFit="1" customWidth="1"/>
    <col min="8" max="8" width="12.44140625" bestFit="1" customWidth="1"/>
    <col min="9" max="9" width="22.21875" bestFit="1" customWidth="1"/>
    <col min="10" max="10" width="23.77734375" bestFit="1" customWidth="1"/>
    <col min="11" max="11" width="16.6640625" bestFit="1" customWidth="1"/>
  </cols>
  <sheetData>
    <row r="3" spans="1:11" ht="13.8" thickBot="1">
      <c r="A3" s="2"/>
      <c r="B3" s="2"/>
      <c r="C3" s="17" t="s">
        <v>1158</v>
      </c>
      <c r="D3" s="17" t="s">
        <v>1159</v>
      </c>
      <c r="E3" s="17" t="s">
        <v>1157</v>
      </c>
      <c r="F3" s="17" t="s">
        <v>1160</v>
      </c>
      <c r="G3" s="17" t="s">
        <v>997</v>
      </c>
      <c r="H3" s="17" t="s">
        <v>1161</v>
      </c>
      <c r="I3" s="17" t="s">
        <v>1162</v>
      </c>
      <c r="J3" s="17" t="s">
        <v>1235</v>
      </c>
      <c r="K3" s="17" t="s">
        <v>1328</v>
      </c>
    </row>
    <row r="4" spans="1:11" ht="14.4" thickTop="1">
      <c r="A4" s="28" t="s">
        <v>2</v>
      </c>
      <c r="B4" s="20" t="s">
        <v>4</v>
      </c>
      <c r="C4" s="18">
        <f>COUNTA(_xlfn.UNIQUE('Overall Matcher'!G3:G28))-1</f>
        <v>21</v>
      </c>
      <c r="D4" s="16">
        <f>COUNTA(_xlfn.UNIQUE('Overall Matcher'!H3:H28))-1</f>
        <v>2</v>
      </c>
      <c r="E4" s="16">
        <f>COUNTA(_xlfn.UNIQUE('Overall Matcher'!I3:I28))-1</f>
        <v>12</v>
      </c>
      <c r="F4" s="16">
        <f>COUNTA(_xlfn.UNIQUE('Overall Matcher'!J3:J28))-1</f>
        <v>1</v>
      </c>
      <c r="G4" s="16">
        <f>COUNTA(_xlfn.UNIQUE('Overall Matcher'!K3:K28))-1</f>
        <v>1</v>
      </c>
      <c r="H4" s="16">
        <f>COUNTA(_xlfn.UNIQUE('Overall Matcher'!L3:L28))-1</f>
        <v>1</v>
      </c>
      <c r="I4" s="16">
        <f>COUNTA(_xlfn.UNIQUE('Overall Matcher'!M3:M28))-1</f>
        <v>0</v>
      </c>
      <c r="J4" s="16">
        <f>COUNTA(_xlfn.UNIQUE('Overall Matcher'!N3:N28))-1</f>
        <v>1</v>
      </c>
      <c r="K4" s="16">
        <f>COUNTA(_xlfn.UNIQUE('Overall Matcher'!E3:E28))-1</f>
        <v>0</v>
      </c>
    </row>
    <row r="5" spans="1:11" ht="13.8">
      <c r="A5" s="28"/>
      <c r="B5" s="20" t="s">
        <v>3</v>
      </c>
      <c r="C5" s="19">
        <f>COUNTA(_xlfn.UNIQUE('Overall Matcher'!G29:G79))-1</f>
        <v>30</v>
      </c>
      <c r="D5" s="15">
        <f>COUNTA(_xlfn.UNIQUE('Overall Matcher'!H29:H79))-1</f>
        <v>7</v>
      </c>
      <c r="E5" s="15">
        <f>COUNTA(_xlfn.UNIQUE('Overall Matcher'!I29:I79))-1</f>
        <v>26</v>
      </c>
      <c r="F5" s="15">
        <f>COUNTA(_xlfn.UNIQUE('Overall Matcher'!J29:J79))-1</f>
        <v>3</v>
      </c>
      <c r="G5" s="15">
        <f>COUNTA(_xlfn.UNIQUE('Overall Matcher'!K29:K79))-1</f>
        <v>5</v>
      </c>
      <c r="H5" s="15">
        <f>COUNTA(_xlfn.UNIQUE('Overall Matcher'!L29:L79))-1</f>
        <v>6</v>
      </c>
      <c r="I5" s="15">
        <f>COUNTA(_xlfn.UNIQUE('Overall Matcher'!M29:M79))-1</f>
        <v>15</v>
      </c>
      <c r="J5" s="15">
        <f>COUNTA(_xlfn.UNIQUE('Overall Matcher'!N29:N79))-1</f>
        <v>4</v>
      </c>
      <c r="K5" s="15">
        <f>COUNTA(_xlfn.UNIQUE('Overall Matcher'!E29:E79))-1</f>
        <v>1</v>
      </c>
    </row>
    <row r="6" spans="1:11" ht="13.8">
      <c r="A6" s="28"/>
      <c r="B6" s="20" t="s">
        <v>63</v>
      </c>
      <c r="C6" s="19">
        <f>COUNTA(_xlfn.UNIQUE('Overall Matcher'!G80:G89))-1</f>
        <v>7</v>
      </c>
      <c r="D6" s="15">
        <f>COUNTA(_xlfn.UNIQUE('Overall Matcher'!H80:H89))-1</f>
        <v>3</v>
      </c>
      <c r="E6" s="15">
        <f>COUNTA(_xlfn.UNIQUE('Overall Matcher'!I80:I89))-1</f>
        <v>6</v>
      </c>
      <c r="F6" s="15">
        <f>COUNTA(_xlfn.UNIQUE('Overall Matcher'!J80:J89))-1</f>
        <v>1</v>
      </c>
      <c r="G6" s="15">
        <f>COUNTA(_xlfn.UNIQUE('Overall Matcher'!K80:K89))-1</f>
        <v>6</v>
      </c>
      <c r="H6" s="15">
        <f>COUNTA(_xlfn.UNIQUE('Overall Matcher'!L80:L89))-1</f>
        <v>1</v>
      </c>
      <c r="I6" s="15">
        <f>COUNTA(_xlfn.UNIQUE('Overall Matcher'!M80:M89))-1</f>
        <v>1</v>
      </c>
      <c r="J6" s="15">
        <f>COUNTA(_xlfn.UNIQUE('Overall Matcher'!N80:N89))-1</f>
        <v>1</v>
      </c>
      <c r="K6" s="15">
        <f>COUNTA(_xlfn.UNIQUE('Overall Matcher'!E80:E89))-1</f>
        <v>0</v>
      </c>
    </row>
    <row r="7" spans="1:11" ht="13.8">
      <c r="A7" s="28"/>
      <c r="B7" s="20" t="s">
        <v>66</v>
      </c>
      <c r="C7" s="19">
        <f>COUNTA(_xlfn.UNIQUE('Overall Matcher'!G90:G94))-1</f>
        <v>2</v>
      </c>
      <c r="D7" s="15">
        <f>COUNTA(_xlfn.UNIQUE('Overall Matcher'!H90:H94))-1</f>
        <v>2</v>
      </c>
      <c r="E7" s="15">
        <f>COUNTA(_xlfn.UNIQUE('Overall Matcher'!I90:I94))-1</f>
        <v>3</v>
      </c>
      <c r="F7" s="15">
        <f>COUNTA(_xlfn.UNIQUE('Overall Matcher'!J90:J94))-1</f>
        <v>0</v>
      </c>
      <c r="G7" s="15">
        <f>COUNTA(_xlfn.UNIQUE('Overall Matcher'!K90:K94))-1</f>
        <v>2</v>
      </c>
      <c r="H7" s="15">
        <f>COUNTA(_xlfn.UNIQUE('Overall Matcher'!L90:L94))-1</f>
        <v>1</v>
      </c>
      <c r="I7" s="15">
        <f>COUNTA(_xlfn.UNIQUE('Overall Matcher'!M90:M94))-1</f>
        <v>0</v>
      </c>
      <c r="J7" s="15">
        <f>COUNTA(_xlfn.UNIQUE('Overall Matcher'!N90:N94))-1</f>
        <v>1</v>
      </c>
      <c r="K7" s="15">
        <f>COUNTA(_xlfn.UNIQUE('Overall Matcher'!E90:E94))-1</f>
        <v>0</v>
      </c>
    </row>
    <row r="8" spans="1:11" ht="13.8">
      <c r="A8" s="28"/>
      <c r="B8" s="20" t="s">
        <v>300</v>
      </c>
      <c r="C8" s="19">
        <f>COUNTA(_xlfn.UNIQUE('Overall Matcher'!G95:G105))-1</f>
        <v>7</v>
      </c>
      <c r="D8" s="15">
        <f>COUNTA(_xlfn.UNIQUE('Overall Matcher'!H95:H105))-1</f>
        <v>1</v>
      </c>
      <c r="E8" s="15">
        <f>COUNTA(_xlfn.UNIQUE('Overall Matcher'!I95:I105))-1</f>
        <v>9</v>
      </c>
      <c r="F8" s="15">
        <f>COUNTA(_xlfn.UNIQUE('Overall Matcher'!J95:J105))-1</f>
        <v>1</v>
      </c>
      <c r="G8" s="15">
        <f>COUNTA(_xlfn.UNIQUE('Overall Matcher'!K95:K105))-1</f>
        <v>3</v>
      </c>
      <c r="H8" s="15">
        <f>COUNTA(_xlfn.UNIQUE('Overall Matcher'!L95:L105))-1</f>
        <v>1</v>
      </c>
      <c r="I8" s="15">
        <f>COUNTA(_xlfn.UNIQUE('Overall Matcher'!M95:M105))-1</f>
        <v>3</v>
      </c>
      <c r="J8" s="15">
        <f>COUNTA(_xlfn.UNIQUE('Overall Matcher'!N95:N105))-1</f>
        <v>1</v>
      </c>
      <c r="K8" s="15">
        <f>COUNTA(_xlfn.UNIQUE('Overall Matcher'!E95:E105))-1</f>
        <v>0</v>
      </c>
    </row>
    <row r="9" spans="1:11" ht="13.8">
      <c r="A9" s="28"/>
      <c r="B9" s="20" t="s">
        <v>30</v>
      </c>
      <c r="C9" s="19">
        <f>COUNTA(_xlfn.UNIQUE('Overall Matcher'!G107:G110))-1</f>
        <v>3</v>
      </c>
      <c r="D9" s="15">
        <f>COUNTA(_xlfn.UNIQUE('Overall Matcher'!H107:H110))-1</f>
        <v>1</v>
      </c>
      <c r="E9" s="15">
        <f>COUNTA(_xlfn.UNIQUE('Overall Matcher'!I107:I110))-1</f>
        <v>0</v>
      </c>
      <c r="F9" s="15">
        <f>COUNTA(_xlfn.UNIQUE('Overall Matcher'!J107:J110))-1</f>
        <v>1</v>
      </c>
      <c r="G9" s="15">
        <f>COUNTA(_xlfn.UNIQUE('Overall Matcher'!K107:K110))-1</f>
        <v>2</v>
      </c>
      <c r="H9" s="15">
        <f>COUNTA(_xlfn.UNIQUE('Overall Matcher'!L107:L110))-1</f>
        <v>1</v>
      </c>
      <c r="I9" s="15">
        <f>COUNTA(_xlfn.UNIQUE('Overall Matcher'!M107:M110))-1</f>
        <v>0</v>
      </c>
      <c r="J9" s="15">
        <f>COUNTA(_xlfn.UNIQUE('Overall Matcher'!N107:N110))-1</f>
        <v>1</v>
      </c>
      <c r="K9" s="15">
        <f>COUNTA(_xlfn.UNIQUE('Overall Matcher'!E107:E110))-1</f>
        <v>0</v>
      </c>
    </row>
    <row r="10" spans="1:11" ht="13.8">
      <c r="A10" s="28"/>
      <c r="B10" s="20" t="s">
        <v>5</v>
      </c>
      <c r="C10" s="19">
        <f>COUNTA(_xlfn.UNIQUE('Overall Matcher'!G111:G115))-1</f>
        <v>2</v>
      </c>
      <c r="D10" s="15">
        <f>COUNTA(_xlfn.UNIQUE('Overall Matcher'!H111:H115))-1</f>
        <v>2</v>
      </c>
      <c r="E10" s="15">
        <f>COUNTA(_xlfn.UNIQUE('Overall Matcher'!I111:I115))-1</f>
        <v>2</v>
      </c>
      <c r="F10" s="15">
        <f>COUNTA(_xlfn.UNIQUE('Overall Matcher'!J111:J115))-1</f>
        <v>0</v>
      </c>
      <c r="G10" s="15">
        <f>COUNTA(_xlfn.UNIQUE('Overall Matcher'!K111:K115))-1</f>
        <v>2</v>
      </c>
      <c r="H10" s="15">
        <f>COUNTA(_xlfn.UNIQUE('Overall Matcher'!L111:L115))-1</f>
        <v>1</v>
      </c>
      <c r="I10" s="15">
        <f>COUNTA(_xlfn.UNIQUE('Overall Matcher'!M111:M115))-1</f>
        <v>1</v>
      </c>
      <c r="J10" s="15">
        <f>COUNTA(_xlfn.UNIQUE('Overall Matcher'!N111:N115))-1</f>
        <v>3</v>
      </c>
      <c r="K10" s="15">
        <f>COUNTA(_xlfn.UNIQUE('Overall Matcher'!E111:E115))-1</f>
        <v>0</v>
      </c>
    </row>
    <row r="11" spans="1:11" ht="13.8">
      <c r="A11" s="28" t="s">
        <v>6</v>
      </c>
      <c r="B11" s="20" t="s">
        <v>67</v>
      </c>
      <c r="C11" s="19">
        <f>COUNTA(_xlfn.UNIQUE('Overall Matcher'!G116:G132))-1</f>
        <v>10</v>
      </c>
      <c r="D11" s="15">
        <f>COUNTA(_xlfn.UNIQUE('Overall Matcher'!H116:H132))-1</f>
        <v>2</v>
      </c>
      <c r="E11" s="15">
        <f>COUNTA(_xlfn.UNIQUE('Overall Matcher'!I116:I132))-1</f>
        <v>15</v>
      </c>
      <c r="F11" s="15">
        <f>COUNTA(_xlfn.UNIQUE('Overall Matcher'!J116:J132))-1</f>
        <v>1</v>
      </c>
      <c r="G11" s="15">
        <f>COUNTA(_xlfn.UNIQUE('Overall Matcher'!K116:K132))-1</f>
        <v>1</v>
      </c>
      <c r="H11" s="15">
        <f>COUNTA(_xlfn.UNIQUE('Overall Matcher'!L116:L132))-1</f>
        <v>0</v>
      </c>
      <c r="I11" s="15">
        <f>COUNTA(_xlfn.UNIQUE('Overall Matcher'!M116:M132))-1</f>
        <v>0</v>
      </c>
      <c r="J11" s="15">
        <f>COUNTA(_xlfn.UNIQUE('Overall Matcher'!N116:N132))-1</f>
        <v>0</v>
      </c>
      <c r="K11" s="15">
        <f>COUNTA(_xlfn.UNIQUE('Overall Matcher'!E116:E121))-1</f>
        <v>0</v>
      </c>
    </row>
    <row r="12" spans="1:11" ht="13.8">
      <c r="A12" s="28"/>
      <c r="B12" s="20" t="s">
        <v>7</v>
      </c>
      <c r="C12" s="19">
        <f>COUNTA(_xlfn.UNIQUE('Overall Matcher'!G133:G152))-1</f>
        <v>14</v>
      </c>
      <c r="D12" s="15">
        <f>COUNTA(_xlfn.UNIQUE('Overall Matcher'!H133:H152))-1</f>
        <v>4</v>
      </c>
      <c r="E12" s="15">
        <f>COUNTA(_xlfn.UNIQUE('Overall Matcher'!I133:I152))-1</f>
        <v>11</v>
      </c>
      <c r="F12" s="15">
        <f>COUNTA(_xlfn.UNIQUE('Overall Matcher'!J133:J152))-1</f>
        <v>2</v>
      </c>
      <c r="G12" s="15">
        <f>COUNTA(_xlfn.UNIQUE('Overall Matcher'!K133:K152))-1</f>
        <v>6</v>
      </c>
      <c r="H12" s="15">
        <f>COUNTA(_xlfn.UNIQUE('Overall Matcher'!L133:L152))-1</f>
        <v>0</v>
      </c>
      <c r="I12" s="15">
        <f>COUNTA(_xlfn.UNIQUE('Overall Matcher'!M133:M152))-1</f>
        <v>1</v>
      </c>
      <c r="J12" s="15">
        <f>COUNTA(_xlfn.UNIQUE('Overall Matcher'!N133:N152))-1</f>
        <v>3</v>
      </c>
      <c r="K12" s="15">
        <f>COUNTA(_xlfn.UNIQUE('Overall Matcher'!E133:E152))-1</f>
        <v>0</v>
      </c>
    </row>
    <row r="13" spans="1:11" ht="13.8">
      <c r="A13" s="28"/>
      <c r="B13" s="20" t="s">
        <v>364</v>
      </c>
      <c r="C13" s="19">
        <f>COUNTA(_xlfn.UNIQUE('Overall Matcher'!G153:G154))-1</f>
        <v>1</v>
      </c>
      <c r="D13" s="15">
        <f>COUNTA(_xlfn.UNIQUE('Overall Matcher'!H153:H154))-1</f>
        <v>0</v>
      </c>
      <c r="E13" s="15">
        <f>COUNTA(_xlfn.UNIQUE('Overall Matcher'!I153:I154))-1</f>
        <v>0</v>
      </c>
      <c r="F13" s="15">
        <f>COUNTA(_xlfn.UNIQUE('Overall Matcher'!J153:J154))-1</f>
        <v>0</v>
      </c>
      <c r="G13" s="15">
        <f>COUNTA(_xlfn.UNIQUE('Overall Matcher'!K153:K154))-1</f>
        <v>1</v>
      </c>
      <c r="H13" s="15">
        <f>COUNTA(_xlfn.UNIQUE('Overall Matcher'!L153:L154))-1</f>
        <v>0</v>
      </c>
      <c r="I13" s="15">
        <f>COUNTA(_xlfn.UNIQUE('Overall Matcher'!M153:M154))-1</f>
        <v>0</v>
      </c>
      <c r="J13" s="15">
        <f>COUNTA(_xlfn.UNIQUE('Overall Matcher'!N153:N154))-1</f>
        <v>0</v>
      </c>
      <c r="K13" s="15">
        <f>COUNTA(_xlfn.UNIQUE('Overall Matcher'!E153:E154))-1</f>
        <v>0</v>
      </c>
    </row>
    <row r="14" spans="1:11" ht="13.8">
      <c r="A14" s="28" t="s">
        <v>175</v>
      </c>
      <c r="B14" s="20" t="s">
        <v>367</v>
      </c>
      <c r="C14" s="19">
        <f>COUNTA(_xlfn.UNIQUE('Overall Matcher'!G156:G184))-1</f>
        <v>13</v>
      </c>
      <c r="D14" s="15">
        <f>COUNTA(_xlfn.UNIQUE('Overall Matcher'!H156:H184))-1</f>
        <v>4</v>
      </c>
      <c r="E14" s="15">
        <f>COUNTA(_xlfn.UNIQUE('Overall Matcher'!I156:I184))-1</f>
        <v>0</v>
      </c>
      <c r="F14" s="15">
        <f>COUNTA(_xlfn.UNIQUE('Overall Matcher'!J156:J184))-1</f>
        <v>3</v>
      </c>
      <c r="G14" s="15">
        <f>COUNTA(_xlfn.UNIQUE('Overall Matcher'!K156:K184))-1</f>
        <v>6</v>
      </c>
      <c r="H14" s="15">
        <f>COUNTA(_xlfn.UNIQUE('Overall Matcher'!L156:L184))-1</f>
        <v>3</v>
      </c>
      <c r="I14" s="15">
        <f>COUNTA(_xlfn.UNIQUE('Overall Matcher'!M156:M184))-1</f>
        <v>10</v>
      </c>
      <c r="J14" s="15">
        <f>COUNTA(_xlfn.UNIQUE('Overall Matcher'!N156:N184))-1</f>
        <v>2</v>
      </c>
      <c r="K14" s="15">
        <f>COUNTA(_xlfn.UNIQUE('Overall Matcher'!E156:E184))-1</f>
        <v>25</v>
      </c>
    </row>
    <row r="15" spans="1:11" ht="13.8">
      <c r="A15" s="28"/>
      <c r="B15" s="20" t="s">
        <v>78</v>
      </c>
      <c r="C15" s="19">
        <f>COUNTA(_xlfn.UNIQUE('Overall Matcher'!G185:G228))-1</f>
        <v>12</v>
      </c>
      <c r="D15" s="15">
        <f>COUNTA(_xlfn.UNIQUE('Overall Matcher'!H185:H228))-1</f>
        <v>5</v>
      </c>
      <c r="E15" s="15">
        <f>COUNTA(_xlfn.UNIQUE('Overall Matcher'!I185:I228))-1</f>
        <v>3</v>
      </c>
      <c r="F15" s="15">
        <f>COUNTA(_xlfn.UNIQUE('Overall Matcher'!J185:J228))-1</f>
        <v>2</v>
      </c>
      <c r="G15" s="15">
        <f>COUNTA(_xlfn.UNIQUE('Overall Matcher'!K185:K228))-1</f>
        <v>5</v>
      </c>
      <c r="H15" s="15">
        <f>COUNTA(_xlfn.UNIQUE('Overall Matcher'!L185:L228))-1</f>
        <v>5</v>
      </c>
      <c r="I15" s="15">
        <f>COUNTA(_xlfn.UNIQUE('Overall Matcher'!M185:M228))-1</f>
        <v>15</v>
      </c>
      <c r="J15" s="15">
        <f>COUNTA(_xlfn.UNIQUE('Overall Matcher'!N185:N228))-1</f>
        <v>5</v>
      </c>
      <c r="K15" s="15">
        <f>COUNTA(_xlfn.UNIQUE('Overall Matcher'!E185:E228))-1</f>
        <v>34</v>
      </c>
    </row>
    <row r="16" spans="1:11" ht="13.8">
      <c r="A16" s="28"/>
      <c r="B16" s="20" t="s">
        <v>1156</v>
      </c>
      <c r="C16" s="19">
        <f>COUNTA(_xlfn.UNIQUE('Overall Matcher'!G229:G236))-1</f>
        <v>2</v>
      </c>
      <c r="D16" s="15">
        <f>COUNTA(_xlfn.UNIQUE('Overall Matcher'!H229:H236))-1</f>
        <v>3</v>
      </c>
      <c r="E16" s="15">
        <f>COUNTA(_xlfn.UNIQUE('Overall Matcher'!I229:I236))-1</f>
        <v>0</v>
      </c>
      <c r="F16" s="15">
        <f>COUNTA(_xlfn.UNIQUE('Overall Matcher'!J229:J236))-1</f>
        <v>2</v>
      </c>
      <c r="G16" s="15">
        <f>COUNTA(_xlfn.UNIQUE('Overall Matcher'!K229:K236))-1</f>
        <v>1</v>
      </c>
      <c r="H16" s="15">
        <f>COUNTA(_xlfn.UNIQUE('Overall Matcher'!L229:L236))-1</f>
        <v>3</v>
      </c>
      <c r="I16" s="15">
        <f>COUNTA(_xlfn.UNIQUE('Overall Matcher'!M229:M236))-1</f>
        <v>6</v>
      </c>
      <c r="J16" s="15">
        <f>COUNTA(_xlfn.UNIQUE('Overall Matcher'!N229:N236))-1</f>
        <v>2</v>
      </c>
      <c r="K16" s="15">
        <f>COUNTA(_xlfn.UNIQUE('Overall Matcher'!E229:E236))-1</f>
        <v>4</v>
      </c>
    </row>
    <row r="17" spans="1:11" ht="13.8">
      <c r="A17" s="28"/>
      <c r="B17" s="20" t="s">
        <v>98</v>
      </c>
      <c r="C17" s="19">
        <f>COUNTA(_xlfn.UNIQUE('Overall Matcher'!G237:G241))-1</f>
        <v>2</v>
      </c>
      <c r="D17" s="15">
        <f>COUNTA(_xlfn.UNIQUE('Overall Matcher'!H237:H241))-1</f>
        <v>0</v>
      </c>
      <c r="E17" s="15">
        <f>COUNTA(_xlfn.UNIQUE('Overall Matcher'!I237:I241))-1</f>
        <v>1</v>
      </c>
      <c r="F17" s="15">
        <f>COUNTA(_xlfn.UNIQUE('Overall Matcher'!J237:J241))-1</f>
        <v>0</v>
      </c>
      <c r="G17" s="15">
        <f>COUNTA(_xlfn.UNIQUE('Overall Matcher'!K237:K241))-1</f>
        <v>3</v>
      </c>
      <c r="H17" s="15">
        <f>COUNTA(_xlfn.UNIQUE('Overall Matcher'!L237:L241))-1</f>
        <v>2</v>
      </c>
      <c r="I17" s="15">
        <f>COUNTA(_xlfn.UNIQUE('Overall Matcher'!M237:M241))-1</f>
        <v>3</v>
      </c>
      <c r="J17" s="15">
        <f>COUNTA(_xlfn.UNIQUE('Overall Matcher'!N237:N241))-1</f>
        <v>2</v>
      </c>
      <c r="K17" s="15">
        <f>COUNTA(_xlfn.UNIQUE('Overall Matcher'!E237:E241))-1</f>
        <v>2</v>
      </c>
    </row>
    <row r="18" spans="1:11" ht="13.8">
      <c r="A18" s="28"/>
      <c r="B18" s="20" t="s">
        <v>418</v>
      </c>
      <c r="C18" s="19">
        <f>COUNTA(_xlfn.UNIQUE('Overall Matcher'!G242:G244))-1</f>
        <v>1</v>
      </c>
      <c r="D18" s="15">
        <f>COUNTA(_xlfn.UNIQUE('Overall Matcher'!H242:H244))-1</f>
        <v>0</v>
      </c>
      <c r="E18" s="15">
        <f>COUNTA(_xlfn.UNIQUE('Overall Matcher'!I242:I244))-1</f>
        <v>0</v>
      </c>
      <c r="F18" s="15">
        <f>COUNTA(_xlfn.UNIQUE('Overall Matcher'!J242:J244))-1</f>
        <v>0</v>
      </c>
      <c r="G18" s="15">
        <f>COUNTA(_xlfn.UNIQUE('Overall Matcher'!K242:K244))-1</f>
        <v>2</v>
      </c>
      <c r="H18" s="15">
        <f>COUNTA(_xlfn.UNIQUE('Overall Matcher'!L242:L244))-1</f>
        <v>1</v>
      </c>
      <c r="I18" s="15">
        <f>COUNTA(_xlfn.UNIQUE('Overall Matcher'!M242:M244))-1</f>
        <v>2</v>
      </c>
      <c r="J18" s="15">
        <f>COUNTA(_xlfn.UNIQUE('Overall Matcher'!N242:N244))-1</f>
        <v>1</v>
      </c>
      <c r="K18" s="15">
        <f>COUNTA(_xlfn.UNIQUE('Overall Matcher'!E242:E244))-1</f>
        <v>1</v>
      </c>
    </row>
    <row r="19" spans="1:11" ht="13.8">
      <c r="A19" s="28"/>
      <c r="B19" s="20" t="s">
        <v>417</v>
      </c>
      <c r="C19" s="19">
        <f>COUNTA(_xlfn.UNIQUE('Overall Matcher'!G245:G264))-1</f>
        <v>4</v>
      </c>
      <c r="D19" s="15">
        <f>COUNTA(_xlfn.UNIQUE('Overall Matcher'!H245:H264))-1</f>
        <v>3</v>
      </c>
      <c r="E19" s="15">
        <f>COUNTA(_xlfn.UNIQUE('Overall Matcher'!I245:I264))-1</f>
        <v>5</v>
      </c>
      <c r="F19" s="15">
        <f>COUNTA(_xlfn.UNIQUE('Overall Matcher'!J245:J264))-1</f>
        <v>3</v>
      </c>
      <c r="G19" s="15">
        <f>COUNTA(_xlfn.UNIQUE('Overall Matcher'!K245:K264))-1</f>
        <v>5</v>
      </c>
      <c r="H19" s="15">
        <f>COUNTA(_xlfn.UNIQUE('Overall Matcher'!L245:L264))-1</f>
        <v>2</v>
      </c>
      <c r="I19" s="15">
        <f>COUNTA(_xlfn.UNIQUE('Overall Matcher'!M245:M264))-1</f>
        <v>5</v>
      </c>
      <c r="J19" s="15">
        <f>COUNTA(_xlfn.UNIQUE('Overall Matcher'!N245:N264))-1</f>
        <v>3</v>
      </c>
      <c r="K19" s="15">
        <f>COUNTA(_xlfn.UNIQUE('Overall Matcher'!E245:E264))-1</f>
        <v>10</v>
      </c>
    </row>
    <row r="21" spans="1:11">
      <c r="B21" s="21" t="s">
        <v>1174</v>
      </c>
      <c r="C21" s="21">
        <f>COUNTA(_xlfn.UNIQUE('CIS Kubernetes 1.12'!C6:C156))-20</f>
        <v>131</v>
      </c>
      <c r="D21" s="21">
        <v>30</v>
      </c>
      <c r="E21" s="21">
        <f>COUNTA(_xlfn.UNIQUE('K8S STIG'!B6:B96))</f>
        <v>91</v>
      </c>
      <c r="F21" s="21">
        <f>COUNTA(_xlfn.UNIQUE(BSI!A5:A28))-3</f>
        <v>21</v>
      </c>
      <c r="G21" s="21">
        <f>COUNTA(_xlfn.UNIQUE('PCI Container Guidance'!A5:A69))-16</f>
        <v>49</v>
      </c>
      <c r="H21" s="21">
        <f>COUNTA(_xlfn.UNIQUE('MS TM for K8S'!A5:A39))</f>
        <v>35</v>
      </c>
      <c r="I21" s="21">
        <f>COUNTA(_xlfn.UNIQUE('Kubernetes security checklists'!C5:C81))</f>
        <v>76</v>
      </c>
      <c r="J21" s="21">
        <f>SUM(OWASP!D7:D66)</f>
        <v>53</v>
      </c>
      <c r="K21" s="21">
        <f>COUNTA(_xlfn.UNIQUE('KALM-Checks'!B4:B87))</f>
        <v>84</v>
      </c>
    </row>
    <row r="22" spans="1:11" ht="13.8" thickBot="1">
      <c r="B22" s="22" t="s">
        <v>1175</v>
      </c>
      <c r="C22" s="22">
        <f>COUNTA(_xlfn.UNIQUE('Overall Matcher'!G3:G1032))-1</f>
        <v>131</v>
      </c>
      <c r="D22" s="22">
        <f>COUNTA(_xlfn.UNIQUE('Overall Matcher'!H3:H1032))-1</f>
        <v>23</v>
      </c>
      <c r="E22" s="22">
        <f>COUNTA(_xlfn.UNIQUE('Overall Matcher'!I3:I1032))-1</f>
        <v>88</v>
      </c>
      <c r="F22" s="22">
        <f>COUNTA(_xlfn.UNIQUE('Overall Matcher'!J3:J1032))-1</f>
        <v>10</v>
      </c>
      <c r="G22" s="22">
        <f>COUNTA(_xlfn.UNIQUE('Overall Matcher'!K3:K1032))-1</f>
        <v>31</v>
      </c>
      <c r="H22" s="22">
        <f>COUNTA(_xlfn.UNIQUE('Overall Matcher'!L3:L1032))-1</f>
        <v>22</v>
      </c>
      <c r="I22" s="22">
        <f>COUNTA(_xlfn.UNIQUE('Overall Matcher'!M3:M1032))-1</f>
        <v>60</v>
      </c>
      <c r="J22" s="22">
        <f>COUNTA(_xlfn.UNIQUE('Overall Matcher'!N3:N1032))-1</f>
        <v>24</v>
      </c>
      <c r="K22" s="22">
        <f>COUNTA(_xlfn.UNIQUE('Overall Matcher'!E3:E1032))-1</f>
        <v>77</v>
      </c>
    </row>
    <row r="23" spans="1:11">
      <c r="B23" s="23" t="s">
        <v>1176</v>
      </c>
      <c r="C23" s="23">
        <f t="shared" ref="C23:H23" si="0">C21-C22</f>
        <v>0</v>
      </c>
      <c r="D23" s="23">
        <f t="shared" si="0"/>
        <v>7</v>
      </c>
      <c r="E23" s="23">
        <f t="shared" si="0"/>
        <v>3</v>
      </c>
      <c r="F23" s="23">
        <f t="shared" si="0"/>
        <v>11</v>
      </c>
      <c r="G23" s="23">
        <f t="shared" si="0"/>
        <v>18</v>
      </c>
      <c r="H23" s="23">
        <f t="shared" si="0"/>
        <v>13</v>
      </c>
      <c r="I23" s="23">
        <f>I21-I22</f>
        <v>16</v>
      </c>
      <c r="J23" s="23">
        <f>J21-J22</f>
        <v>29</v>
      </c>
      <c r="K23" s="23">
        <f>K21-K22</f>
        <v>7</v>
      </c>
    </row>
    <row r="24" spans="1:11">
      <c r="B24" s="21" t="s">
        <v>1178</v>
      </c>
      <c r="C24" s="24">
        <f>1-C22/C21</f>
        <v>0</v>
      </c>
      <c r="D24" s="24">
        <f t="shared" ref="D24:I24" si="1">1-D22/D21</f>
        <v>0.23333333333333328</v>
      </c>
      <c r="E24" s="24">
        <f t="shared" si="1"/>
        <v>3.2967032967032961E-2</v>
      </c>
      <c r="F24" s="24">
        <f t="shared" si="1"/>
        <v>0.52380952380952384</v>
      </c>
      <c r="G24" s="24">
        <f t="shared" si="1"/>
        <v>0.36734693877551017</v>
      </c>
      <c r="H24" s="24">
        <f t="shared" si="1"/>
        <v>0.37142857142857144</v>
      </c>
      <c r="I24" s="24">
        <f t="shared" si="1"/>
        <v>0.21052631578947367</v>
      </c>
      <c r="J24" s="24">
        <f t="shared" ref="J24:K24" si="2">1-J22/J21</f>
        <v>0.54716981132075471</v>
      </c>
      <c r="K24" s="24">
        <f t="shared" si="2"/>
        <v>8.333333333333337E-2</v>
      </c>
    </row>
    <row r="25" spans="1:11">
      <c r="B25" s="21" t="s">
        <v>1177</v>
      </c>
      <c r="C25" s="25">
        <f>C22/C21</f>
        <v>1</v>
      </c>
      <c r="D25" s="25">
        <f t="shared" ref="D25:I25" si="3">D22/D21</f>
        <v>0.76666666666666672</v>
      </c>
      <c r="E25" s="25">
        <f t="shared" si="3"/>
        <v>0.96703296703296704</v>
      </c>
      <c r="F25" s="25">
        <f t="shared" si="3"/>
        <v>0.47619047619047616</v>
      </c>
      <c r="G25" s="25">
        <f t="shared" si="3"/>
        <v>0.63265306122448983</v>
      </c>
      <c r="H25" s="25">
        <f t="shared" si="3"/>
        <v>0.62857142857142856</v>
      </c>
      <c r="I25" s="25">
        <f t="shared" si="3"/>
        <v>0.78947368421052633</v>
      </c>
      <c r="J25" s="25">
        <f t="shared" ref="J25:K25" si="4">J22/J21</f>
        <v>0.45283018867924529</v>
      </c>
      <c r="K25" s="25">
        <f t="shared" si="4"/>
        <v>0.91666666666666663</v>
      </c>
    </row>
  </sheetData>
  <mergeCells count="3">
    <mergeCell ref="A4:A10"/>
    <mergeCell ref="A11:A13"/>
    <mergeCell ref="A14:A19"/>
  </mergeCells>
  <conditionalFormatting sqref="C4:C19">
    <cfRule type="colorScale" priority="12">
      <colorScale>
        <cfvo type="min"/>
        <cfvo type="max"/>
        <color rgb="FFFCFCFF"/>
        <color rgb="FF63BE7B"/>
      </colorScale>
    </cfRule>
  </conditionalFormatting>
  <conditionalFormatting sqref="C4:J19">
    <cfRule type="colorScale" priority="13">
      <colorScale>
        <cfvo type="min"/>
        <cfvo type="max"/>
        <color rgb="FFFCFCFF"/>
        <color rgb="FF63BE7B"/>
      </colorScale>
    </cfRule>
    <cfRule type="colorScale" priority="16">
      <colorScale>
        <cfvo type="min"/>
        <cfvo type="percentile" val="50"/>
        <cfvo type="max"/>
        <color rgb="FFF8696B"/>
        <color rgb="FFFFEB84"/>
        <color rgb="FF63BE7B"/>
      </colorScale>
    </cfRule>
    <cfRule type="colorScale" priority="17">
      <colorScale>
        <cfvo type="min"/>
        <cfvo type="max"/>
        <color rgb="FF63BE7B"/>
        <color rgb="FFFCFCFF"/>
      </colorScale>
    </cfRule>
  </conditionalFormatting>
  <conditionalFormatting sqref="D4:D19">
    <cfRule type="colorScale" priority="11">
      <colorScale>
        <cfvo type="min"/>
        <cfvo type="max"/>
        <color rgb="FFFCFCFF"/>
        <color rgb="FF63BE7B"/>
      </colorScale>
    </cfRule>
  </conditionalFormatting>
  <conditionalFormatting sqref="E4:E19">
    <cfRule type="colorScale" priority="10">
      <colorScale>
        <cfvo type="min"/>
        <cfvo type="max"/>
        <color rgb="FFFCFCFF"/>
        <color rgb="FF63BE7B"/>
      </colorScale>
    </cfRule>
  </conditionalFormatting>
  <conditionalFormatting sqref="F4:F19">
    <cfRule type="colorScale" priority="9">
      <colorScale>
        <cfvo type="min"/>
        <cfvo type="max"/>
        <color rgb="FFFCFCFF"/>
        <color rgb="FF63BE7B"/>
      </colorScale>
    </cfRule>
  </conditionalFormatting>
  <conditionalFormatting sqref="G4:G19">
    <cfRule type="colorScale" priority="8">
      <colorScale>
        <cfvo type="min"/>
        <cfvo type="max"/>
        <color rgb="FFFCFCFF"/>
        <color rgb="FF63BE7B"/>
      </colorScale>
    </cfRule>
  </conditionalFormatting>
  <conditionalFormatting sqref="H4:H19">
    <cfRule type="colorScale" priority="7">
      <colorScale>
        <cfvo type="min"/>
        <cfvo type="max"/>
        <color rgb="FFFCFCFF"/>
        <color rgb="FF63BE7B"/>
      </colorScale>
    </cfRule>
  </conditionalFormatting>
  <conditionalFormatting sqref="I4:I19">
    <cfRule type="colorScale" priority="5">
      <colorScale>
        <cfvo type="min"/>
        <cfvo type="max"/>
        <color rgb="FFFCFCFF"/>
        <color rgb="FF63BE7B"/>
      </colorScale>
    </cfRule>
  </conditionalFormatting>
  <conditionalFormatting sqref="J4:J19">
    <cfRule type="colorScale" priority="6">
      <colorScale>
        <cfvo type="min"/>
        <cfvo type="max"/>
        <color rgb="FFFCFCFF"/>
        <color rgb="FF63BE7B"/>
      </colorScale>
    </cfRule>
  </conditionalFormatting>
  <conditionalFormatting sqref="K4:K19">
    <cfRule type="colorScale" priority="1">
      <colorScale>
        <cfvo type="min"/>
        <cfvo type="max"/>
        <color rgb="FFFCFCFF"/>
        <color rgb="FF63BE7B"/>
      </colorScale>
    </cfRule>
    <cfRule type="colorScale" priority="2">
      <colorScale>
        <cfvo type="min"/>
        <cfvo type="max"/>
        <color rgb="FFFCFCFF"/>
        <color rgb="FF63BE7B"/>
      </colorScale>
    </cfRule>
    <cfRule type="colorScale" priority="3">
      <colorScale>
        <cfvo type="min"/>
        <cfvo type="percentile" val="50"/>
        <cfvo type="max"/>
        <color rgb="FFF8696B"/>
        <color rgb="FFFFEB84"/>
        <color rgb="FF63BE7B"/>
      </colorScale>
    </cfRule>
    <cfRule type="colorScale" priority="4">
      <colorScale>
        <cfvo type="min"/>
        <cfvo type="max"/>
        <color rgb="FF63BE7B"/>
        <color rgb="FFFCFCFF"/>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0B61C-FC5C-4157-AE42-5C00D52AE97F}">
  <dimension ref="A1:N261"/>
  <sheetViews>
    <sheetView topLeftCell="A2" zoomScale="90" zoomScaleNormal="90" workbookViewId="0">
      <pane xSplit="12432" ySplit="600" topLeftCell="C183" activePane="bottomRight"/>
      <selection activeCell="A115" sqref="A115"/>
      <selection pane="topRight" activeCell="H2" sqref="H2"/>
      <selection pane="bottomLeft" activeCell="B202" sqref="B202"/>
      <selection pane="bottomRight" activeCell="E203" sqref="E203"/>
    </sheetView>
  </sheetViews>
  <sheetFormatPr defaultRowHeight="13.2"/>
  <cols>
    <col min="1" max="1" width="35.21875" bestFit="1" customWidth="1"/>
    <col min="2" max="2" width="89.109375" customWidth="1"/>
    <col min="3" max="3" width="24" bestFit="1" customWidth="1"/>
    <col min="4" max="4" width="29.6640625" bestFit="1" customWidth="1"/>
    <col min="5" max="5" width="29.5546875" bestFit="1" customWidth="1"/>
    <col min="7" max="7" width="24.88671875" bestFit="1" customWidth="1"/>
    <col min="8" max="8" width="48.44140625" bestFit="1" customWidth="1"/>
    <col min="9" max="9" width="11" bestFit="1" customWidth="1"/>
    <col min="10" max="10" width="11.5546875" bestFit="1" customWidth="1"/>
    <col min="11" max="11" width="29.5546875" bestFit="1" customWidth="1"/>
    <col min="12" max="12" width="48.21875" bestFit="1" customWidth="1"/>
    <col min="13" max="13" width="175.21875" bestFit="1" customWidth="1"/>
    <col min="14" max="14" width="101.88671875" bestFit="1" customWidth="1"/>
  </cols>
  <sheetData>
    <row r="1" spans="1:14" ht="20.399999999999999" thickBot="1">
      <c r="A1" s="9" t="s">
        <v>221</v>
      </c>
      <c r="B1" s="9" t="s">
        <v>9</v>
      </c>
      <c r="C1" s="9" t="s">
        <v>992</v>
      </c>
      <c r="D1" s="9" t="s">
        <v>993</v>
      </c>
      <c r="E1" s="9" t="s">
        <v>998</v>
      </c>
      <c r="F1" s="9"/>
      <c r="G1" s="9" t="s">
        <v>994</v>
      </c>
      <c r="H1" s="9" t="s">
        <v>1329</v>
      </c>
      <c r="I1" s="9" t="s">
        <v>996</v>
      </c>
      <c r="J1" s="9" t="s">
        <v>1</v>
      </c>
      <c r="K1" s="9" t="s">
        <v>997</v>
      </c>
      <c r="L1" s="12" t="s">
        <v>217</v>
      </c>
      <c r="M1" s="12" t="s">
        <v>1151</v>
      </c>
      <c r="N1" s="12" t="s">
        <v>10</v>
      </c>
    </row>
    <row r="2" spans="1:14" ht="18.600000000000001" thickTop="1" thickBot="1">
      <c r="A2" s="4" t="s">
        <v>224</v>
      </c>
      <c r="B2" s="4"/>
      <c r="C2" s="4"/>
      <c r="D2" s="10"/>
      <c r="E2" s="10"/>
      <c r="F2" s="4"/>
      <c r="G2" s="4"/>
      <c r="H2" s="4"/>
      <c r="I2" s="4"/>
      <c r="J2" s="4"/>
      <c r="K2" s="4"/>
      <c r="L2" s="4"/>
      <c r="M2" s="4"/>
      <c r="N2" s="4"/>
    </row>
    <row r="3" spans="1:14" ht="13.8" thickTop="1">
      <c r="B3" t="s">
        <v>533</v>
      </c>
      <c r="C3" t="s">
        <v>996</v>
      </c>
      <c r="D3" t="s">
        <v>531</v>
      </c>
      <c r="I3" t="str">
        <f>'K8S STIG'!B26</f>
        <v>V-242396</v>
      </c>
    </row>
    <row r="4" spans="1:14">
      <c r="B4" t="s">
        <v>541</v>
      </c>
      <c r="C4" t="s">
        <v>996</v>
      </c>
      <c r="D4" t="s">
        <v>539</v>
      </c>
      <c r="I4" t="str">
        <f>'K8S STIG'!B28</f>
        <v>V-242398</v>
      </c>
    </row>
    <row r="5" spans="1:14">
      <c r="B5" t="s">
        <v>721</v>
      </c>
      <c r="C5" t="s">
        <v>996</v>
      </c>
      <c r="D5" t="s">
        <v>719</v>
      </c>
      <c r="H5" t="str">
        <f>'NSA-CISA k8s hardening'!A$38</f>
        <v>Upgrading and application security practices</v>
      </c>
      <c r="I5" t="str">
        <f>'K8S STIG'!B73</f>
        <v>V-242443</v>
      </c>
      <c r="K5" t="str">
        <f>'PCI Container Guidance'!A42</f>
        <v>10.1.a</v>
      </c>
      <c r="N5" t="str">
        <f>OWASP!B7</f>
        <v>Updating Kubernetes</v>
      </c>
    </row>
    <row r="6" spans="1:14" ht="15" thickBot="1">
      <c r="A6" s="8" t="s">
        <v>225</v>
      </c>
      <c r="B6" s="8"/>
      <c r="C6" s="8"/>
      <c r="D6" s="11"/>
      <c r="E6" s="11"/>
      <c r="F6" s="8"/>
      <c r="G6" s="8"/>
      <c r="H6" s="8"/>
      <c r="I6" s="8"/>
      <c r="J6" s="8"/>
      <c r="K6" s="8"/>
      <c r="L6" s="8"/>
      <c r="M6" s="8"/>
      <c r="N6" s="8"/>
    </row>
    <row r="7" spans="1:14">
      <c r="B7" t="s">
        <v>226</v>
      </c>
      <c r="C7" t="s">
        <v>219</v>
      </c>
      <c r="D7" t="s">
        <v>12</v>
      </c>
      <c r="G7" t="s">
        <v>12</v>
      </c>
      <c r="I7" t="str">
        <f>'K8S STIG'!B37</f>
        <v>V-242408</v>
      </c>
      <c r="J7" t="str">
        <f>BSI!A$14</f>
        <v>APP.4.4.A8</v>
      </c>
      <c r="L7" t="str">
        <f>'MS TM for K8S'!A$23</f>
        <v>MS-M9016</v>
      </c>
    </row>
    <row r="8" spans="1:14">
      <c r="B8" t="s">
        <v>232</v>
      </c>
      <c r="C8" t="s">
        <v>219</v>
      </c>
      <c r="D8" t="s">
        <v>13</v>
      </c>
      <c r="G8" t="s">
        <v>13</v>
      </c>
      <c r="I8" t="str">
        <f>'K8S STIG'!B$34</f>
        <v>V-242405</v>
      </c>
      <c r="J8" t="str">
        <f>BSI!A$14</f>
        <v>APP.4.4.A8</v>
      </c>
      <c r="L8" t="str">
        <f>'MS TM for K8S'!A$23</f>
        <v>MS-M9016</v>
      </c>
    </row>
    <row r="9" spans="1:14">
      <c r="B9" t="s">
        <v>233</v>
      </c>
      <c r="C9" t="s">
        <v>219</v>
      </c>
      <c r="D9" t="s">
        <v>14</v>
      </c>
      <c r="G9" t="s">
        <v>14</v>
      </c>
      <c r="I9" t="str">
        <f>'K8S STIG'!B$37</f>
        <v>V-242408</v>
      </c>
      <c r="J9" t="str">
        <f>BSI!A$14</f>
        <v>APP.4.4.A8</v>
      </c>
      <c r="L9" t="str">
        <f>'MS TM for K8S'!A$23</f>
        <v>MS-M9016</v>
      </c>
    </row>
    <row r="10" spans="1:14">
      <c r="B10" t="s">
        <v>234</v>
      </c>
      <c r="C10" t="s">
        <v>219</v>
      </c>
      <c r="D10" t="s">
        <v>15</v>
      </c>
      <c r="G10" t="s">
        <v>15</v>
      </c>
      <c r="I10" t="str">
        <f>'K8S STIG'!B$34</f>
        <v>V-242405</v>
      </c>
      <c r="J10" t="str">
        <f>BSI!A$14</f>
        <v>APP.4.4.A8</v>
      </c>
      <c r="L10" t="str">
        <f>'MS TM for K8S'!A$23</f>
        <v>MS-M9016</v>
      </c>
    </row>
    <row r="11" spans="1:14">
      <c r="B11" t="s">
        <v>235</v>
      </c>
      <c r="C11" t="s">
        <v>219</v>
      </c>
      <c r="D11" t="s">
        <v>16</v>
      </c>
      <c r="G11" t="s">
        <v>16</v>
      </c>
      <c r="I11" t="str">
        <f>'K8S STIG'!B$37</f>
        <v>V-242408</v>
      </c>
      <c r="J11" t="str">
        <f>BSI!A$14</f>
        <v>APP.4.4.A8</v>
      </c>
      <c r="L11" t="str">
        <f>'MS TM for K8S'!A$23</f>
        <v>MS-M9016</v>
      </c>
    </row>
    <row r="12" spans="1:14">
      <c r="B12" t="s">
        <v>236</v>
      </c>
      <c r="C12" t="s">
        <v>219</v>
      </c>
      <c r="D12" t="s">
        <v>17</v>
      </c>
      <c r="G12" t="s">
        <v>17</v>
      </c>
      <c r="I12" t="str">
        <f>'K8S STIG'!B$34</f>
        <v>V-242405</v>
      </c>
      <c r="J12" t="str">
        <f>BSI!A$14</f>
        <v>APP.4.4.A8</v>
      </c>
      <c r="L12" t="str">
        <f>'MS TM for K8S'!A$23</f>
        <v>MS-M9016</v>
      </c>
    </row>
    <row r="13" spans="1:14">
      <c r="B13" t="s">
        <v>237</v>
      </c>
      <c r="C13" t="s">
        <v>219</v>
      </c>
      <c r="D13" t="s">
        <v>18</v>
      </c>
      <c r="G13" t="s">
        <v>18</v>
      </c>
      <c r="I13" t="str">
        <f>'K8S STIG'!B$37</f>
        <v>V-242408</v>
      </c>
      <c r="J13" t="str">
        <f>BSI!A$14</f>
        <v>APP.4.4.A8</v>
      </c>
      <c r="L13" t="str">
        <f>'MS TM for K8S'!A$23</f>
        <v>MS-M9016</v>
      </c>
    </row>
    <row r="14" spans="1:14">
      <c r="B14" t="s">
        <v>238</v>
      </c>
      <c r="C14" t="s">
        <v>219</v>
      </c>
      <c r="D14" t="s">
        <v>19</v>
      </c>
      <c r="G14" t="s">
        <v>19</v>
      </c>
      <c r="I14" t="str">
        <f>'K8S STIG'!B$34</f>
        <v>V-242405</v>
      </c>
      <c r="J14" t="str">
        <f>BSI!A$14</f>
        <v>APP.4.4.A8</v>
      </c>
      <c r="L14" t="str">
        <f>'MS TM for K8S'!A$23</f>
        <v>MS-M9016</v>
      </c>
    </row>
    <row r="15" spans="1:14">
      <c r="B15" t="s">
        <v>239</v>
      </c>
      <c r="C15" t="s">
        <v>219</v>
      </c>
      <c r="D15" t="s">
        <v>228</v>
      </c>
      <c r="G15" t="s">
        <v>228</v>
      </c>
      <c r="I15" t="str">
        <f>'K8S STIG'!B$37</f>
        <v>V-242408</v>
      </c>
      <c r="J15" t="str">
        <f>BSI!A$14</f>
        <v>APP.4.4.A8</v>
      </c>
    </row>
    <row r="16" spans="1:14">
      <c r="B16" t="s">
        <v>240</v>
      </c>
      <c r="C16" t="s">
        <v>219</v>
      </c>
      <c r="D16" t="s">
        <v>229</v>
      </c>
      <c r="G16" t="s">
        <v>229</v>
      </c>
      <c r="I16" t="str">
        <f>'K8S STIG'!B$34</f>
        <v>V-242405</v>
      </c>
      <c r="J16" t="str">
        <f>BSI!A$14</f>
        <v>APP.4.4.A8</v>
      </c>
    </row>
    <row r="17" spans="1:14">
      <c r="B17" t="s">
        <v>241</v>
      </c>
      <c r="C17" t="s">
        <v>219</v>
      </c>
      <c r="D17" t="s">
        <v>20</v>
      </c>
      <c r="G17" t="s">
        <v>20</v>
      </c>
      <c r="I17" t="str">
        <f>'K8S STIG'!B88</f>
        <v>V-242459</v>
      </c>
      <c r="J17" t="str">
        <f>BSI!A$14</f>
        <v>APP.4.4.A8</v>
      </c>
    </row>
    <row r="18" spans="1:14">
      <c r="B18" t="s">
        <v>242</v>
      </c>
      <c r="C18" t="s">
        <v>219</v>
      </c>
      <c r="D18" t="s">
        <v>21</v>
      </c>
      <c r="G18" t="s">
        <v>21</v>
      </c>
      <c r="I18" t="str">
        <f>'K8S STIG'!B75</f>
        <v>V-242445</v>
      </c>
      <c r="J18" t="str">
        <f>BSI!A$14</f>
        <v>APP.4.4.A8</v>
      </c>
    </row>
    <row r="19" spans="1:14">
      <c r="B19" t="s">
        <v>243</v>
      </c>
      <c r="C19" t="s">
        <v>219</v>
      </c>
      <c r="D19" t="s">
        <v>22</v>
      </c>
      <c r="G19" t="s">
        <v>22</v>
      </c>
      <c r="H19" t="str">
        <f>'NSA-CISA k8s hardening'!C$18</f>
        <v>Kubeconfig Files</v>
      </c>
      <c r="I19" t="str">
        <f>'K8S STIG'!B89</f>
        <v>V-242460</v>
      </c>
      <c r="J19" t="str">
        <f>BSI!A$14</f>
        <v>APP.4.4.A8</v>
      </c>
    </row>
    <row r="20" spans="1:14">
      <c r="B20" t="s">
        <v>244</v>
      </c>
      <c r="C20" t="s">
        <v>219</v>
      </c>
      <c r="D20" t="s">
        <v>23</v>
      </c>
      <c r="G20" t="s">
        <v>23</v>
      </c>
      <c r="H20" t="str">
        <f>'NSA-CISA k8s hardening'!C$18</f>
        <v>Kubeconfig Files</v>
      </c>
      <c r="I20" t="str">
        <f>'K8S STIG'!B$76</f>
        <v>V-242446</v>
      </c>
      <c r="J20" t="str">
        <f>BSI!A$14</f>
        <v>APP.4.4.A8</v>
      </c>
    </row>
    <row r="21" spans="1:14">
      <c r="B21" t="s">
        <v>245</v>
      </c>
      <c r="C21" t="s">
        <v>219</v>
      </c>
      <c r="D21" t="s">
        <v>24</v>
      </c>
      <c r="G21" t="s">
        <v>24</v>
      </c>
      <c r="H21" t="str">
        <f>'NSA-CISA k8s hardening'!C$18</f>
        <v>Kubeconfig Files</v>
      </c>
      <c r="I21" t="str">
        <f>'K8S STIG'!B89</f>
        <v>V-242460</v>
      </c>
      <c r="J21" t="str">
        <f>BSI!A$14</f>
        <v>APP.4.4.A8</v>
      </c>
    </row>
    <row r="22" spans="1:14">
      <c r="B22" t="s">
        <v>246</v>
      </c>
      <c r="C22" t="s">
        <v>219</v>
      </c>
      <c r="D22" t="s">
        <v>25</v>
      </c>
      <c r="G22" t="s">
        <v>25</v>
      </c>
      <c r="H22" t="str">
        <f>'NSA-CISA k8s hardening'!C$18</f>
        <v>Kubeconfig Files</v>
      </c>
      <c r="I22" t="str">
        <f>'K8S STIG'!B$76</f>
        <v>V-242446</v>
      </c>
      <c r="J22" t="str">
        <f>BSI!A$14</f>
        <v>APP.4.4.A8</v>
      </c>
    </row>
    <row r="23" spans="1:14">
      <c r="B23" t="s">
        <v>247</v>
      </c>
      <c r="C23" t="s">
        <v>219</v>
      </c>
      <c r="D23" t="s">
        <v>26</v>
      </c>
      <c r="G23" t="s">
        <v>26</v>
      </c>
      <c r="H23" t="str">
        <f>'NSA-CISA k8s hardening'!C$18</f>
        <v>Kubeconfig Files</v>
      </c>
      <c r="I23" t="str">
        <f>'K8S STIG'!B89</f>
        <v>V-242460</v>
      </c>
      <c r="J23" t="str">
        <f>BSI!A$14</f>
        <v>APP.4.4.A8</v>
      </c>
    </row>
    <row r="24" spans="1:14">
      <c r="B24" t="s">
        <v>248</v>
      </c>
      <c r="C24" t="s">
        <v>219</v>
      </c>
      <c r="D24" t="s">
        <v>27</v>
      </c>
      <c r="G24" t="s">
        <v>27</v>
      </c>
      <c r="H24" t="str">
        <f>'NSA-CISA k8s hardening'!C$18</f>
        <v>Kubeconfig Files</v>
      </c>
      <c r="I24" t="str">
        <f>'K8S STIG'!B$76</f>
        <v>V-242446</v>
      </c>
      <c r="J24" t="str">
        <f>BSI!A$14</f>
        <v>APP.4.4.A8</v>
      </c>
    </row>
    <row r="25" spans="1:14">
      <c r="B25" t="s">
        <v>249</v>
      </c>
      <c r="C25" t="s">
        <v>219</v>
      </c>
      <c r="D25" t="s">
        <v>28</v>
      </c>
      <c r="G25" t="s">
        <v>28</v>
      </c>
      <c r="I25" t="str">
        <f>'K8S STIG'!B81</f>
        <v>V-242451</v>
      </c>
      <c r="J25" t="str">
        <f>BSI!A$14</f>
        <v>APP.4.4.A8</v>
      </c>
    </row>
    <row r="26" spans="1:14">
      <c r="B26" t="s">
        <v>250</v>
      </c>
      <c r="C26" t="s">
        <v>219</v>
      </c>
      <c r="D26" t="s">
        <v>230</v>
      </c>
      <c r="G26" t="s">
        <v>230</v>
      </c>
      <c r="I26" t="str">
        <f>'K8S STIG'!B95</f>
        <v>V-242466</v>
      </c>
      <c r="J26" t="str">
        <f>BSI!A$14</f>
        <v>APP.4.4.A8</v>
      </c>
    </row>
    <row r="27" spans="1:14">
      <c r="B27" t="s">
        <v>251</v>
      </c>
      <c r="C27" t="s">
        <v>219</v>
      </c>
      <c r="D27" t="s">
        <v>231</v>
      </c>
      <c r="G27" t="s">
        <v>231</v>
      </c>
      <c r="I27" t="str">
        <f>'K8S STIG'!B96</f>
        <v>V-242467</v>
      </c>
      <c r="J27" t="str">
        <f>BSI!A$14</f>
        <v>APP.4.4.A8</v>
      </c>
    </row>
    <row r="28" spans="1:14" ht="15" thickBot="1">
      <c r="A28" s="8" t="s">
        <v>3</v>
      </c>
      <c r="B28" s="8"/>
      <c r="C28" s="8"/>
      <c r="D28" s="11"/>
      <c r="E28" s="11"/>
      <c r="F28" s="8"/>
      <c r="G28" s="11"/>
      <c r="H28" s="8"/>
      <c r="I28" s="8"/>
      <c r="J28" s="8"/>
      <c r="K28" s="8"/>
      <c r="L28" s="8"/>
      <c r="M28" s="8"/>
      <c r="N28" s="8"/>
    </row>
    <row r="29" spans="1:14">
      <c r="B29" t="s">
        <v>257</v>
      </c>
      <c r="C29" t="s">
        <v>219</v>
      </c>
      <c r="D29" t="s">
        <v>252</v>
      </c>
      <c r="G29" t="s">
        <v>252</v>
      </c>
      <c r="H29" t="str">
        <f>'NSA-CISA k8s hardening'!B$24</f>
        <v>Authentication</v>
      </c>
      <c r="I29" t="str">
        <f>'K8S STIG'!B20</f>
        <v>V-242390</v>
      </c>
      <c r="J29" t="str">
        <f>BSI!A$8</f>
        <v>APP.4.4.A3</v>
      </c>
      <c r="L29" t="str">
        <f>'MS TM for K8S'!A$28</f>
        <v>MS-M9021</v>
      </c>
    </row>
    <row r="30" spans="1:14">
      <c r="B30" t="s">
        <v>258</v>
      </c>
      <c r="C30" t="s">
        <v>219</v>
      </c>
      <c r="D30" t="s">
        <v>39</v>
      </c>
      <c r="G30" t="s">
        <v>39</v>
      </c>
      <c r="I30" t="str">
        <f>'K8S STIG'!B70</f>
        <v>V-245543</v>
      </c>
      <c r="K30" t="str">
        <f>'PCI Container Guidance'!A8</f>
        <v>1.3.a</v>
      </c>
      <c r="L30" t="str">
        <f>'MS TM for K8S'!A$28</f>
        <v>MS-M9021</v>
      </c>
    </row>
    <row r="31" spans="1:14">
      <c r="B31" t="s">
        <v>259</v>
      </c>
      <c r="C31" t="s">
        <v>219</v>
      </c>
      <c r="D31" t="s">
        <v>253</v>
      </c>
      <c r="G31" t="s">
        <v>253</v>
      </c>
      <c r="H31" t="str">
        <f>'NSA-CISA k8s hardening'!B16</f>
        <v>Control plane hardening</v>
      </c>
      <c r="K31" t="str">
        <f>'PCI Container Guidance'!A24</f>
        <v>4.2.a</v>
      </c>
      <c r="L31" t="str">
        <f>'MS TM for K8S'!A$15</f>
        <v>MS-M9008</v>
      </c>
      <c r="M31" t="str">
        <f>'Kubernetes security checklists'!C16</f>
        <v>Use of LoadBalancer and ExternalIPs is restricted.</v>
      </c>
    </row>
    <row r="32" spans="1:14">
      <c r="M32" t="str">
        <f>'Kubernetes security checklists'!C55</f>
        <v>DenyServiceExternalIPs - Rejects all net-new usage of the Service.spec.externalIPs field. This is a mitigation for CVE-2020-8554: Man in the middle using LoadBalancer or ExternalIPs.</v>
      </c>
    </row>
    <row r="33" spans="2:14">
      <c r="B33" t="s">
        <v>260</v>
      </c>
      <c r="C33" t="s">
        <v>219</v>
      </c>
      <c r="D33" t="s">
        <v>254</v>
      </c>
      <c r="G33" t="s">
        <v>254</v>
      </c>
      <c r="H33" t="str">
        <f>'NSA-CISA k8s hardening'!B16</f>
        <v>Control plane hardening</v>
      </c>
      <c r="I33" t="str">
        <f>'K8S STIG'!B71</f>
        <v>V-245544</v>
      </c>
      <c r="K33" t="str">
        <f>'PCI Container Guidance'!A25</f>
        <v>4.3.a</v>
      </c>
    </row>
    <row r="34" spans="2:14">
      <c r="B34" t="s">
        <v>261</v>
      </c>
      <c r="C34" t="s">
        <v>219</v>
      </c>
      <c r="D34" t="s">
        <v>215</v>
      </c>
      <c r="G34" t="s">
        <v>215</v>
      </c>
      <c r="H34" t="str">
        <f>'NSA-CISA k8s hardening'!B16</f>
        <v>Control plane hardening</v>
      </c>
      <c r="K34" t="str">
        <f>'PCI Container Guidance'!A29</f>
        <v>5.2.a</v>
      </c>
    </row>
    <row r="35" spans="2:14">
      <c r="B35" t="s">
        <v>262</v>
      </c>
      <c r="C35" t="s">
        <v>219</v>
      </c>
      <c r="D35" t="s">
        <v>214</v>
      </c>
      <c r="G35" t="s">
        <v>214</v>
      </c>
      <c r="H35" t="str">
        <f>'NSA-CISA k8s hardening'!B$25</f>
        <v>Role-based access control</v>
      </c>
      <c r="I35" t="str">
        <f>'K8S STIG'!B21</f>
        <v>V-242392</v>
      </c>
      <c r="J35" t="str">
        <f>BSI!A$8</f>
        <v>APP.4.4.A3</v>
      </c>
      <c r="L35" t="str">
        <f>'MS TM for K8S'!A$28</f>
        <v>MS-M9021</v>
      </c>
    </row>
    <row r="36" spans="2:14">
      <c r="B36" t="s">
        <v>263</v>
      </c>
      <c r="C36" t="s">
        <v>219</v>
      </c>
      <c r="D36" t="s">
        <v>255</v>
      </c>
      <c r="G36" t="s">
        <v>255</v>
      </c>
      <c r="I36" t="str">
        <f>'K8S STIG'!B12</f>
        <v>V-242382</v>
      </c>
    </row>
    <row r="37" spans="2:14">
      <c r="B37" t="s">
        <v>264</v>
      </c>
      <c r="C37" t="s">
        <v>219</v>
      </c>
      <c r="D37" t="s">
        <v>256</v>
      </c>
      <c r="G37" t="s">
        <v>256</v>
      </c>
      <c r="H37" t="str">
        <f>'NSA-CISA k8s hardening'!B$16</f>
        <v>Control plane hardening</v>
      </c>
      <c r="I37" t="str">
        <f>'K8S STIG'!B12</f>
        <v>V-242382</v>
      </c>
      <c r="J37" t="str">
        <f>BSI!A$8</f>
        <v>APP.4.4.A3</v>
      </c>
      <c r="L37" t="str">
        <f>'MS TM for K8S'!A$28</f>
        <v>MS-M9021</v>
      </c>
      <c r="N37" t="str">
        <f>OWASP!B17</f>
        <v>Implementing Role-Based Access Control in Kubernetes</v>
      </c>
    </row>
    <row r="38" spans="2:14">
      <c r="B38" t="s">
        <v>265</v>
      </c>
      <c r="C38" t="s">
        <v>219</v>
      </c>
      <c r="D38" t="s">
        <v>40</v>
      </c>
      <c r="G38" t="s">
        <v>40</v>
      </c>
    </row>
    <row r="39" spans="2:14">
      <c r="B39" t="s">
        <v>266</v>
      </c>
      <c r="C39" t="s">
        <v>219</v>
      </c>
      <c r="D39" t="s">
        <v>41</v>
      </c>
      <c r="G39" t="s">
        <v>41</v>
      </c>
    </row>
    <row r="40" spans="2:14">
      <c r="B40" t="s">
        <v>267</v>
      </c>
      <c r="C40" t="s">
        <v>219</v>
      </c>
      <c r="D40" t="s">
        <v>42</v>
      </c>
      <c r="E40" t="str">
        <f>'KALM-Checks'!B85</f>
        <v>SC-001</v>
      </c>
      <c r="G40" t="s">
        <v>42</v>
      </c>
      <c r="M40" t="str">
        <f>'Kubernetes security checklists'!C57</f>
        <v>AlwaysPullImages - Enforces the usage of the latest version of a tagged image and ensures that the deployer has permissions to use the image.</v>
      </c>
    </row>
    <row r="41" spans="2:14">
      <c r="B41" t="s">
        <v>268</v>
      </c>
      <c r="C41" t="s">
        <v>219</v>
      </c>
      <c r="D41" t="s">
        <v>43</v>
      </c>
      <c r="G41" t="s">
        <v>43</v>
      </c>
      <c r="H41" t="str">
        <f>'NSA-CISA k8s hardening'!B$24</f>
        <v>Authentication</v>
      </c>
      <c r="M41" t="str">
        <f>'Kubernetes security checklists'!C35</f>
        <v>Bound service account token volume is in-use instead of non-expiring tokens.</v>
      </c>
    </row>
    <row r="42" spans="2:14">
      <c r="B42" t="s">
        <v>269</v>
      </c>
      <c r="C42" t="s">
        <v>219</v>
      </c>
      <c r="D42" t="s">
        <v>44</v>
      </c>
      <c r="G42" t="s">
        <v>44</v>
      </c>
    </row>
    <row r="43" spans="2:14">
      <c r="B43" t="s">
        <v>270</v>
      </c>
      <c r="C43" t="s">
        <v>219</v>
      </c>
      <c r="D43" t="s">
        <v>45</v>
      </c>
      <c r="G43" t="s">
        <v>45</v>
      </c>
      <c r="L43" t="str">
        <f>'MS TM for K8S'!A34</f>
        <v>MS-M9027</v>
      </c>
      <c r="M43" t="str">
        <f>'Kubernetes security checklists'!C56</f>
        <v>NodeRestriction - Restricts kubelet's permissions to only modify the pods API resources they own or the node API resource that represent themselves.</v>
      </c>
    </row>
    <row r="44" spans="2:14">
      <c r="B44" t="s">
        <v>271</v>
      </c>
      <c r="C44" t="s">
        <v>219</v>
      </c>
      <c r="D44" t="s">
        <v>46</v>
      </c>
      <c r="G44" t="s">
        <v>46</v>
      </c>
    </row>
    <row r="45" spans="2:14">
      <c r="B45" t="s">
        <v>272</v>
      </c>
      <c r="C45" t="s">
        <v>219</v>
      </c>
      <c r="D45" t="s">
        <v>48</v>
      </c>
      <c r="G45" t="s">
        <v>48</v>
      </c>
      <c r="H45" t="str">
        <f>'NSA-CISA k8s hardening'!C$28</f>
        <v>Kubernetes native audit logging configuration</v>
      </c>
      <c r="I45" t="str">
        <f>'K8S STIG'!B31</f>
        <v>V-242402</v>
      </c>
      <c r="K45" t="str">
        <f>'PCI Container Guidance'!A34</f>
        <v>7.1.a</v>
      </c>
    </row>
    <row r="46" spans="2:14">
      <c r="I46" t="str">
        <f>'K8S STIG'!B94</f>
        <v>V-242465</v>
      </c>
    </row>
    <row r="47" spans="2:14">
      <c r="B47" t="s">
        <v>273</v>
      </c>
      <c r="C47" t="s">
        <v>219</v>
      </c>
      <c r="D47" t="s">
        <v>49</v>
      </c>
      <c r="G47" t="s">
        <v>49</v>
      </c>
      <c r="H47" t="str">
        <f>'NSA-CISA k8s hardening'!C$28</f>
        <v>Kubernetes native audit logging configuration</v>
      </c>
      <c r="I47" t="str">
        <f>'K8S STIG'!B93</f>
        <v>V-242464</v>
      </c>
      <c r="K47" t="str">
        <f>'PCI Container Guidance'!A34</f>
        <v>7.1.a</v>
      </c>
    </row>
    <row r="48" spans="2:14">
      <c r="B48" t="s">
        <v>274</v>
      </c>
      <c r="C48" t="s">
        <v>219</v>
      </c>
      <c r="D48" t="s">
        <v>50</v>
      </c>
      <c r="G48" t="s">
        <v>50</v>
      </c>
      <c r="H48" t="str">
        <f>'NSA-CISA k8s hardening'!$C$34</f>
        <v>Fault tolerance</v>
      </c>
      <c r="I48" t="str">
        <f>'K8S STIG'!B92</f>
        <v>V-242463</v>
      </c>
      <c r="K48" t="str">
        <f>'PCI Container Guidance'!A34</f>
        <v>7.1.a</v>
      </c>
    </row>
    <row r="49" spans="2:14">
      <c r="B49" t="s">
        <v>275</v>
      </c>
      <c r="C49" t="s">
        <v>219</v>
      </c>
      <c r="D49" t="s">
        <v>37</v>
      </c>
      <c r="G49" t="s">
        <v>37</v>
      </c>
      <c r="H49" t="str">
        <f>'NSA-CISA k8s hardening'!$C$34</f>
        <v>Fault tolerance</v>
      </c>
      <c r="I49" t="str">
        <f>'K8S STIG'!B91</f>
        <v>V-242462</v>
      </c>
      <c r="K49" t="str">
        <f>'PCI Container Guidance'!A34</f>
        <v>7.1.a</v>
      </c>
    </row>
    <row r="50" spans="2:14">
      <c r="B50" t="s">
        <v>276</v>
      </c>
      <c r="C50" t="s">
        <v>219</v>
      </c>
      <c r="D50" t="s">
        <v>51</v>
      </c>
      <c r="G50" t="s">
        <v>51</v>
      </c>
      <c r="I50" t="str">
        <f>'K8S STIG'!B68</f>
        <v>V-242438</v>
      </c>
    </row>
    <row r="51" spans="2:14">
      <c r="B51" t="s">
        <v>277</v>
      </c>
      <c r="C51" t="s">
        <v>219</v>
      </c>
      <c r="D51" t="s">
        <v>52</v>
      </c>
      <c r="G51" t="s">
        <v>52</v>
      </c>
    </row>
    <row r="52" spans="2:14">
      <c r="B52" t="s">
        <v>278</v>
      </c>
      <c r="C52" t="s">
        <v>219</v>
      </c>
      <c r="D52" t="s">
        <v>53</v>
      </c>
      <c r="G52" t="s">
        <v>53</v>
      </c>
      <c r="K52" t="str">
        <f>'PCI Container Guidance'!A8</f>
        <v>1.3.a</v>
      </c>
      <c r="M52" t="str">
        <f>'Kubernetes security checklists'!C35</f>
        <v>Bound service account token volume is in-use instead of non-expiring tokens.</v>
      </c>
    </row>
    <row r="53" spans="2:14">
      <c r="B53" t="s">
        <v>279</v>
      </c>
      <c r="C53" t="s">
        <v>219</v>
      </c>
      <c r="D53" t="s">
        <v>54</v>
      </c>
      <c r="G53" t="s">
        <v>54</v>
      </c>
      <c r="I53" t="str" cm="1">
        <f t="array" ref="I53:I54">'K8S STIG'!B59:B60</f>
        <v>V-242430</v>
      </c>
      <c r="K53" t="str">
        <f>'PCI Container Guidance'!A25</f>
        <v>4.3.a</v>
      </c>
    </row>
    <row r="54" spans="2:14">
      <c r="I54" t="str">
        <v>V-242431</v>
      </c>
    </row>
    <row r="55" spans="2:14">
      <c r="B55" t="s">
        <v>280</v>
      </c>
      <c r="C55" t="s">
        <v>219</v>
      </c>
      <c r="D55" t="s">
        <v>60</v>
      </c>
      <c r="G55" t="s">
        <v>60</v>
      </c>
      <c r="H55" t="str">
        <f>'NSA-CISA k8s hardening'!B$16</f>
        <v>Control plane hardening</v>
      </c>
      <c r="I55" t="str">
        <f>'K8S STIG'!B51</f>
        <v>V-242422</v>
      </c>
      <c r="K55" t="str">
        <f>'PCI Container Guidance'!A25</f>
        <v>4.3.a</v>
      </c>
    </row>
    <row r="56" spans="2:14">
      <c r="B56" t="s">
        <v>281</v>
      </c>
      <c r="C56" t="s">
        <v>219</v>
      </c>
      <c r="D56" t="s">
        <v>55</v>
      </c>
      <c r="G56" t="s">
        <v>55</v>
      </c>
      <c r="H56" t="str">
        <f>'NSA-CISA k8s hardening'!B$16</f>
        <v>Control plane hardening</v>
      </c>
      <c r="I56" t="str">
        <f>'K8S STIG'!B49</f>
        <v>V-242419</v>
      </c>
      <c r="K56" t="str">
        <f>'PCI Container Guidance'!A29</f>
        <v>5.2.a</v>
      </c>
      <c r="L56" t="str">
        <f>'MS TM for K8S'!A$28</f>
        <v>MS-M9021</v>
      </c>
    </row>
    <row r="57" spans="2:14">
      <c r="B57" t="s">
        <v>282</v>
      </c>
      <c r="C57" t="s">
        <v>219</v>
      </c>
      <c r="D57" t="s">
        <v>56</v>
      </c>
      <c r="G57" t="s">
        <v>56</v>
      </c>
      <c r="H57" t="str">
        <f>'NSA-CISA k8s hardening'!B$16</f>
        <v>Control plane hardening</v>
      </c>
      <c r="I57" t="str">
        <f>'K8S STIG'!B58</f>
        <v>V-242429</v>
      </c>
      <c r="K57" t="str">
        <f>'PCI Container Guidance'!A29</f>
        <v>5.2.a</v>
      </c>
      <c r="L57" t="str">
        <f>'MS TM for K8S'!A$28</f>
        <v>MS-M9021</v>
      </c>
    </row>
    <row r="58" spans="2:14">
      <c r="B58" t="s">
        <v>283</v>
      </c>
      <c r="C58" t="s">
        <v>219</v>
      </c>
      <c r="D58" t="s">
        <v>61</v>
      </c>
      <c r="G58" t="s">
        <v>61</v>
      </c>
      <c r="H58" t="str">
        <f>'NSA-CISA k8s hardening'!B$21</f>
        <v>Secrets</v>
      </c>
      <c r="J58" t="str">
        <f>BSI!A$27</f>
        <v>APP.4.4.A20</v>
      </c>
      <c r="M58" t="str">
        <f>'Kubernetes security checklists'!C32</f>
        <v>Encryption at rest is configured for the Secret API.</v>
      </c>
      <c r="N58" t="str">
        <f>OWASP!C44</f>
        <v>Encrypt secrets at rest</v>
      </c>
    </row>
    <row r="59" spans="2:14">
      <c r="B59" t="s">
        <v>284</v>
      </c>
      <c r="C59" t="s">
        <v>219</v>
      </c>
      <c r="D59" t="s">
        <v>216</v>
      </c>
      <c r="G59" t="s">
        <v>216</v>
      </c>
      <c r="H59" t="str">
        <f>'NSA-CISA k8s hardening'!B$21</f>
        <v>Secrets</v>
      </c>
      <c r="J59" t="str">
        <f>BSI!A$27</f>
        <v>APP.4.4.A20</v>
      </c>
      <c r="M59" t="str">
        <f>'Kubernetes security checklists'!C32</f>
        <v>Encryption at rest is configured for the Secret API.</v>
      </c>
      <c r="N59" t="str">
        <f>OWASP!C44</f>
        <v>Encrypt secrets at rest</v>
      </c>
    </row>
    <row r="60" spans="2:14">
      <c r="B60" t="s">
        <v>285</v>
      </c>
      <c r="C60" t="s">
        <v>219</v>
      </c>
      <c r="D60" t="s">
        <v>62</v>
      </c>
      <c r="G60" t="s">
        <v>62</v>
      </c>
      <c r="H60" t="str">
        <f>'NSA-CISA k8s hardening'!B$16</f>
        <v>Control plane hardening</v>
      </c>
      <c r="I60" t="str">
        <f>'K8S STIG'!B47</f>
        <v>V-242418</v>
      </c>
      <c r="K60" t="str">
        <f>'PCI Container Guidance'!A25</f>
        <v>4.3.a</v>
      </c>
    </row>
    <row r="61" spans="2:14">
      <c r="B61" t="s">
        <v>286</v>
      </c>
      <c r="C61" t="s">
        <v>219</v>
      </c>
      <c r="D61" t="s">
        <v>57</v>
      </c>
      <c r="G61" t="s">
        <v>57</v>
      </c>
      <c r="M61" t="str">
        <f>'Kubernetes security checklists'!C35</f>
        <v>Bound service account token volume is in-use instead of non-expiring tokens.</v>
      </c>
    </row>
    <row r="62" spans="2:14">
      <c r="B62" t="s">
        <v>460</v>
      </c>
      <c r="C62" t="s">
        <v>996</v>
      </c>
      <c r="D62" t="s">
        <v>458</v>
      </c>
      <c r="H62" t="str">
        <f>'NSA-CISA k8s hardening'!B$20</f>
        <v>Encryption</v>
      </c>
      <c r="I62" t="str">
        <f>'K8S STIG'!B8</f>
        <v>V-242378</v>
      </c>
      <c r="K62" t="str">
        <f>'PCI Container Guidance'!A25</f>
        <v>4.3.a</v>
      </c>
    </row>
    <row r="63" spans="2:14">
      <c r="B63" t="s">
        <v>494</v>
      </c>
      <c r="C63" t="s">
        <v>996</v>
      </c>
      <c r="D63" t="s">
        <v>492</v>
      </c>
      <c r="H63" t="str">
        <f>'NSA-CISA k8s hardening'!B$16</f>
        <v>Control plane hardening</v>
      </c>
      <c r="I63" t="str">
        <f>'K8S STIG'!B16</f>
        <v>V-242386</v>
      </c>
      <c r="K63" t="str">
        <f>'PCI Container Guidance'!A25</f>
        <v>4.3.a</v>
      </c>
      <c r="L63" t="str">
        <f>'MS TM for K8S'!A$15</f>
        <v>MS-M9008</v>
      </c>
    </row>
    <row r="64" spans="2:14">
      <c r="B64" t="s">
        <v>502</v>
      </c>
      <c r="C64" t="s">
        <v>996</v>
      </c>
      <c r="D64" t="s">
        <v>500</v>
      </c>
      <c r="H64" t="str">
        <f>'NSA-CISA k8s hardening'!B$16</f>
        <v>Control plane hardening</v>
      </c>
      <c r="I64" t="str" cm="1">
        <f t="array" ref="I64:I65">'K8S STIG'!B18:B19</f>
        <v>V-242388</v>
      </c>
      <c r="K64" t="str">
        <f>'PCI Container Guidance'!A25</f>
        <v>4.3.a</v>
      </c>
      <c r="L64" t="str">
        <f>'MS TM for K8S'!A$15</f>
        <v>MS-M9008</v>
      </c>
    </row>
    <row r="65" spans="1:14">
      <c r="B65" t="s">
        <v>506</v>
      </c>
      <c r="C65" t="s">
        <v>996</v>
      </c>
      <c r="D65" t="s">
        <v>504</v>
      </c>
      <c r="H65" t="str">
        <f>'NSA-CISA k8s hardening'!B$16</f>
        <v>Control plane hardening</v>
      </c>
      <c r="I65" t="str">
        <v>V-242389</v>
      </c>
      <c r="K65" t="str">
        <f>'PCI Container Guidance'!A25</f>
        <v>4.3.a</v>
      </c>
      <c r="L65" t="str">
        <f>'MS TM for K8S'!A$15</f>
        <v>MS-M9008</v>
      </c>
    </row>
    <row r="66" spans="1:14">
      <c r="B66" t="s">
        <v>549</v>
      </c>
      <c r="C66" t="s">
        <v>996</v>
      </c>
      <c r="D66" t="s">
        <v>547</v>
      </c>
      <c r="I66" t="str">
        <f>'K8S STIG'!B30</f>
        <v>V-242400</v>
      </c>
    </row>
    <row r="67" spans="1:14">
      <c r="B67" t="s">
        <v>585</v>
      </c>
      <c r="C67" t="s">
        <v>996</v>
      </c>
      <c r="D67" t="s">
        <v>583</v>
      </c>
      <c r="I67" t="str">
        <f>'K8S STIG'!B39</f>
        <v>V-242410</v>
      </c>
      <c r="L67" t="str">
        <f>'MS TM for K8S'!A$15</f>
        <v>MS-M9008</v>
      </c>
    </row>
    <row r="68" spans="1:14">
      <c r="B68" t="s">
        <v>685</v>
      </c>
      <c r="C68" t="s">
        <v>996</v>
      </c>
      <c r="D68" t="s">
        <v>683</v>
      </c>
      <c r="I68" t="str">
        <f>'K8S STIG'!B64</f>
        <v>V-242436</v>
      </c>
      <c r="M68" t="str">
        <f>'Kubernetes security checklists'!C54</f>
        <v>ValidatingAdmissionWebhook - Allows the use of custom controllers through webhooks, these controllers do not mutate requests that it reviews.</v>
      </c>
    </row>
    <row r="69" spans="1:14">
      <c r="B69" t="s">
        <v>1164</v>
      </c>
      <c r="M69" t="str">
        <f>'Kubernetes security checklists'!C47</f>
        <v>CertificateApproval - Performs additional authorization checks to ensure the approving user has permission to approve certificate request.</v>
      </c>
    </row>
    <row r="70" spans="1:14">
      <c r="B70" t="s">
        <v>1165</v>
      </c>
      <c r="M70" t="str">
        <f>'Kubernetes security checklists'!C48</f>
        <v>CertificateSigning - Performs additional authorization checks to ensure the signing user has permission to sign certificate requests.</v>
      </c>
    </row>
    <row r="71" spans="1:14">
      <c r="B71" t="s">
        <v>1169</v>
      </c>
      <c r="M71" t="str">
        <f>'Kubernetes security checklists'!C49</f>
        <v>CertificateSubjectRestriction - Rejects any certificate request that specifies a 'group' (or 'organization attribute') of system:masters.</v>
      </c>
    </row>
    <row r="72" spans="1:14">
      <c r="B72" t="s">
        <v>1166</v>
      </c>
      <c r="M72" t="str">
        <f>'Kubernetes security checklists'!C50</f>
        <v>LimitRanger - Enforces the LimitRange API constraints.</v>
      </c>
    </row>
    <row r="73" spans="1:14">
      <c r="B73" t="s">
        <v>1167</v>
      </c>
      <c r="M73" t="str">
        <f>'Kubernetes security checklists'!C51</f>
        <v>MutatingAdmissionWebhook - Allows the use of custom controllers through webhooks, these controllers may mutate requests that they review.</v>
      </c>
    </row>
    <row r="74" spans="1:14">
      <c r="B74" t="s">
        <v>1168</v>
      </c>
      <c r="M74" t="str">
        <f>'Kubernetes security checklists'!C53</f>
        <v>ResourceQuota - Enforces resource quotas to prevent over-usage of resources.</v>
      </c>
    </row>
    <row r="75" spans="1:14">
      <c r="B75" t="s">
        <v>697</v>
      </c>
      <c r="C75" t="s">
        <v>996</v>
      </c>
      <c r="D75" t="s">
        <v>695</v>
      </c>
      <c r="I75" t="str">
        <f>'K8S STIG'!B67</f>
        <v>V-254800</v>
      </c>
      <c r="L75" t="str">
        <f>'MS TM for K8S'!A$24</f>
        <v>MS-M9017</v>
      </c>
      <c r="M75" t="str">
        <f>'Kubernetes security checklists'!C52</f>
        <v>PodSecurity - Replacement for Pod Security Policy, restricts security contexts of deployed Pods.</v>
      </c>
    </row>
    <row r="76" spans="1:14">
      <c r="B76" t="s">
        <v>705</v>
      </c>
      <c r="C76" t="s">
        <v>996</v>
      </c>
      <c r="D76" t="s">
        <v>703</v>
      </c>
      <c r="H76" t="str">
        <f>'NSA-CISA k8s hardening'!B$16</f>
        <v>Control plane hardening</v>
      </c>
      <c r="I76" t="str">
        <f>'K8S STIG'!B69</f>
        <v>V-245542</v>
      </c>
      <c r="L76" t="str">
        <f>'MS TM for K8S'!A$28</f>
        <v>MS-M9021</v>
      </c>
    </row>
    <row r="77" spans="1:14">
      <c r="B77" t="s">
        <v>1078</v>
      </c>
      <c r="C77" t="s">
        <v>1152</v>
      </c>
      <c r="H77" t="s">
        <v>38</v>
      </c>
      <c r="J77" t="str">
        <f>BSI!A13</f>
        <v>APP.4.4.A7</v>
      </c>
      <c r="K77" t="str">
        <f>'PCI Container Guidance'!A24</f>
        <v>4.2.a</v>
      </c>
      <c r="L77" t="str">
        <f>'MS TM for K8S'!A6</f>
        <v>MS-M9002</v>
      </c>
      <c r="M77" t="str">
        <f>'Kubernetes security checklists'!C20</f>
        <v>External Internet access to the Kubernetes API server should be restricted to not expose the API publicly</v>
      </c>
      <c r="N77" t="str">
        <f>OWASP!B12</f>
        <v>Controlling Network Access to Sensitive Ports</v>
      </c>
    </row>
    <row r="78" spans="1:14">
      <c r="B78" t="s">
        <v>1189</v>
      </c>
      <c r="L78" t="str">
        <f>'MS TM for K8S'!A13</f>
        <v>MS-M9006</v>
      </c>
      <c r="N78" t="str">
        <f>OWASP!C15</f>
        <v>External API Authentication for Kubernetes</v>
      </c>
    </row>
    <row r="79" spans="1:14" ht="15" thickBot="1">
      <c r="A79" s="8" t="s">
        <v>63</v>
      </c>
      <c r="B79" s="8"/>
      <c r="C79" s="8"/>
      <c r="D79" s="11"/>
      <c r="E79" s="11"/>
      <c r="F79" s="8"/>
      <c r="G79" s="11"/>
      <c r="H79" s="8"/>
      <c r="I79" s="8"/>
      <c r="J79" s="8"/>
      <c r="K79" s="8"/>
      <c r="L79" s="8"/>
      <c r="M79" s="8"/>
      <c r="N79" s="8"/>
    </row>
    <row r="80" spans="1:14">
      <c r="B80" t="s">
        <v>293</v>
      </c>
      <c r="C80" t="s">
        <v>219</v>
      </c>
      <c r="D80" t="s">
        <v>287</v>
      </c>
      <c r="G80" t="s">
        <v>287</v>
      </c>
    </row>
    <row r="81" spans="1:14">
      <c r="B81" t="s">
        <v>271</v>
      </c>
      <c r="C81" t="s">
        <v>219</v>
      </c>
      <c r="D81" t="s">
        <v>288</v>
      </c>
      <c r="G81" t="s">
        <v>288</v>
      </c>
      <c r="I81" t="str">
        <f>'K8S STIG'!B38</f>
        <v>V-242409</v>
      </c>
    </row>
    <row r="82" spans="1:14">
      <c r="B82" t="s">
        <v>64</v>
      </c>
      <c r="C82" t="s">
        <v>219</v>
      </c>
      <c r="D82" t="s">
        <v>65</v>
      </c>
      <c r="G82" t="s">
        <v>65</v>
      </c>
      <c r="H82" t="str">
        <f>'NSA-CISA k8s hardening'!B$24</f>
        <v>Authentication</v>
      </c>
      <c r="I82" t="str">
        <f>'K8S STIG'!B11</f>
        <v>V-242381</v>
      </c>
      <c r="K82" t="str">
        <f>'PCI Container Guidance'!A7</f>
        <v>1.2.a</v>
      </c>
      <c r="M82" t="str">
        <f>'Kubernetes security checklists'!C6</f>
        <v>The kube-controller-manager is running with --use-service-account-credentials enabled.</v>
      </c>
    </row>
    <row r="83" spans="1:14">
      <c r="B83" t="s">
        <v>294</v>
      </c>
      <c r="C83" t="s">
        <v>219</v>
      </c>
      <c r="D83" t="s">
        <v>289</v>
      </c>
      <c r="G83" t="s">
        <v>289</v>
      </c>
      <c r="K83" t="str">
        <f>'PCI Container Guidance'!A8</f>
        <v>1.3.a</v>
      </c>
    </row>
    <row r="84" spans="1:14">
      <c r="B84" t="s">
        <v>295</v>
      </c>
      <c r="C84" t="s">
        <v>219</v>
      </c>
      <c r="D84" t="s">
        <v>290</v>
      </c>
      <c r="G84" t="s">
        <v>290</v>
      </c>
      <c r="H84" t="str">
        <f>'NSA-CISA k8s hardening'!B$16</f>
        <v>Control plane hardening</v>
      </c>
      <c r="I84" t="str">
        <f>'K8S STIG'!B50</f>
        <v>V-242421</v>
      </c>
      <c r="K84" t="str">
        <f>'PCI Container Guidance'!A29</f>
        <v>5.2.a</v>
      </c>
    </row>
    <row r="85" spans="1:14">
      <c r="B85" t="s">
        <v>296</v>
      </c>
      <c r="C85" t="s">
        <v>219</v>
      </c>
      <c r="D85" t="s">
        <v>291</v>
      </c>
      <c r="G85" t="s">
        <v>291</v>
      </c>
      <c r="K85" t="str">
        <f>'PCI Container Guidance'!A28</f>
        <v>5.1.b</v>
      </c>
    </row>
    <row r="86" spans="1:14">
      <c r="B86" t="s">
        <v>297</v>
      </c>
      <c r="C86" t="s">
        <v>219</v>
      </c>
      <c r="D86" t="s">
        <v>292</v>
      </c>
      <c r="G86" t="s">
        <v>292</v>
      </c>
      <c r="H86" t="str">
        <f>'NSA-CISA k8s hardening'!B$16</f>
        <v>Control plane hardening</v>
      </c>
      <c r="I86" t="str">
        <f>'K8S STIG'!B15</f>
        <v>V-242385</v>
      </c>
      <c r="K86" t="str">
        <f>'PCI Container Guidance'!A24</f>
        <v>4.2.a</v>
      </c>
      <c r="L86" t="str">
        <f>'MS TM for K8S'!A$15</f>
        <v>MS-M9008</v>
      </c>
    </row>
    <row r="87" spans="1:14">
      <c r="B87" t="s">
        <v>455</v>
      </c>
      <c r="C87" t="s">
        <v>996</v>
      </c>
      <c r="D87" t="s">
        <v>450</v>
      </c>
      <c r="H87" t="str">
        <f>'NSA-CISA k8s hardening'!B$20</f>
        <v>Encryption</v>
      </c>
      <c r="I87" t="str">
        <f>'K8S STIG'!B6</f>
        <v>V-242376</v>
      </c>
      <c r="K87" t="str">
        <f>'PCI Container Guidance'!A25</f>
        <v>4.3.a</v>
      </c>
    </row>
    <row r="88" spans="1:14">
      <c r="B88" t="s">
        <v>593</v>
      </c>
      <c r="C88" t="s">
        <v>996</v>
      </c>
      <c r="D88" t="s">
        <v>591</v>
      </c>
      <c r="I88" t="str">
        <f>'K8S STIG'!B41</f>
        <v>V-242412</v>
      </c>
      <c r="J88" t="str">
        <f>BSI!A13</f>
        <v>APP.4.4.A7</v>
      </c>
      <c r="K88" t="str">
        <f>'PCI Container Guidance'!A24</f>
        <v>4.2.a</v>
      </c>
      <c r="L88" t="str">
        <f>'MS TM for K8S'!A$15</f>
        <v>MS-M9008</v>
      </c>
      <c r="N88" t="str">
        <f>OWASP!B12</f>
        <v>Controlling Network Access to Sensitive Ports</v>
      </c>
    </row>
    <row r="89" spans="1:14" ht="15" thickBot="1">
      <c r="A89" s="8" t="s">
        <v>66</v>
      </c>
      <c r="B89" s="8"/>
      <c r="C89" s="8"/>
      <c r="D89" s="11"/>
      <c r="E89" s="11"/>
      <c r="F89" s="8"/>
      <c r="G89" s="11"/>
      <c r="H89" s="8"/>
      <c r="I89" s="8"/>
      <c r="J89" s="8"/>
      <c r="K89" s="8"/>
      <c r="L89" s="8"/>
      <c r="M89" s="8"/>
      <c r="N89" s="8"/>
    </row>
    <row r="90" spans="1:14">
      <c r="B90" t="s">
        <v>271</v>
      </c>
      <c r="C90" t="s">
        <v>219</v>
      </c>
      <c r="D90" t="s">
        <v>298</v>
      </c>
      <c r="G90" t="s">
        <v>298</v>
      </c>
    </row>
    <row r="91" spans="1:14">
      <c r="B91" t="s">
        <v>297</v>
      </c>
      <c r="C91" t="s">
        <v>219</v>
      </c>
      <c r="D91" t="s">
        <v>299</v>
      </c>
      <c r="G91" t="s">
        <v>299</v>
      </c>
      <c r="H91" t="str">
        <f>'NSA-CISA k8s hardening'!B$16</f>
        <v>Control plane hardening</v>
      </c>
      <c r="I91" t="str">
        <f>'K8S STIG'!B14</f>
        <v>V-242384</v>
      </c>
      <c r="K91" t="str">
        <f>'PCI Container Guidance'!A24</f>
        <v>4.2.a</v>
      </c>
      <c r="L91" t="str">
        <f>'MS TM for K8S'!A$15</f>
        <v>MS-M9008</v>
      </c>
    </row>
    <row r="92" spans="1:14">
      <c r="B92" t="s">
        <v>456</v>
      </c>
      <c r="C92" t="s">
        <v>996</v>
      </c>
      <c r="D92" t="s">
        <v>453</v>
      </c>
      <c r="H92" t="str">
        <f>'NSA-CISA k8s hardening'!B$20</f>
        <v>Encryption</v>
      </c>
      <c r="I92" t="s">
        <v>453</v>
      </c>
      <c r="K92" t="str">
        <f>'PCI Container Guidance'!A25</f>
        <v>4.3.a</v>
      </c>
    </row>
    <row r="93" spans="1:14">
      <c r="B93" t="s">
        <v>589</v>
      </c>
      <c r="C93" t="s">
        <v>996</v>
      </c>
      <c r="D93" t="s">
        <v>587</v>
      </c>
      <c r="I93" t="str">
        <f>'K8S STIG'!B40</f>
        <v>V-242411</v>
      </c>
      <c r="L93" t="str">
        <f>'MS TM for K8S'!A$15</f>
        <v>MS-M9008</v>
      </c>
      <c r="N93" t="str">
        <f>OWASP!B12</f>
        <v>Controlling Network Access to Sensitive Ports</v>
      </c>
    </row>
    <row r="94" spans="1:14" ht="18" thickBot="1">
      <c r="A94" s="4" t="s">
        <v>300</v>
      </c>
      <c r="B94" s="4"/>
      <c r="C94" s="4"/>
      <c r="D94" s="10"/>
      <c r="E94" s="10"/>
      <c r="F94" s="4"/>
      <c r="G94" s="10"/>
      <c r="H94" s="4"/>
      <c r="I94" s="4"/>
      <c r="J94" s="4"/>
      <c r="K94" s="4"/>
      <c r="L94" s="4"/>
      <c r="M94" s="4"/>
      <c r="N94" s="4"/>
    </row>
    <row r="95" spans="1:14" ht="13.8" thickTop="1">
      <c r="B95" t="s">
        <v>301</v>
      </c>
      <c r="C95" t="s">
        <v>219</v>
      </c>
      <c r="D95" s="1">
        <v>2.1</v>
      </c>
      <c r="E95" s="1"/>
      <c r="G95" s="1">
        <v>2.1</v>
      </c>
      <c r="H95" t="str">
        <f>'NSA-CISA k8s hardening'!C$17</f>
        <v>Etcd</v>
      </c>
      <c r="I95" t="str" cm="1">
        <f t="array" ref="I95:I96">'K8S STIG'!B56:B57</f>
        <v>V-242427</v>
      </c>
      <c r="K95" t="str">
        <f>'PCI Container Guidance'!A25</f>
        <v>4.3.a</v>
      </c>
      <c r="L95" t="str">
        <f>'MS TM for K8S'!A31</f>
        <v>MS-M9024</v>
      </c>
      <c r="M95" t="str">
        <f>'Kubernetes security checklists'!C18</f>
        <v>mutual TLS (mTLS) should be used to communicate securely with etcd</v>
      </c>
    </row>
    <row r="96" spans="1:14">
      <c r="D96" s="1"/>
      <c r="E96" s="1"/>
      <c r="G96" s="1"/>
      <c r="I96" t="str">
        <v>V-242428</v>
      </c>
    </row>
    <row r="97" spans="1:14">
      <c r="B97" t="s">
        <v>302</v>
      </c>
      <c r="C97" t="s">
        <v>219</v>
      </c>
      <c r="D97" s="1">
        <v>2.2000000000000002</v>
      </c>
      <c r="E97" s="1"/>
      <c r="G97" s="1">
        <v>2.2000000000000002</v>
      </c>
      <c r="H97" t="str">
        <f>'NSA-CISA k8s hardening'!C$17</f>
        <v>Etcd</v>
      </c>
      <c r="I97" t="str">
        <f>'K8S STIG'!B52</f>
        <v>V-242423</v>
      </c>
      <c r="K97" t="str">
        <f>'PCI Container Guidance'!A25</f>
        <v>4.3.a</v>
      </c>
      <c r="L97" t="str">
        <f>'MS TM for K8S'!A$31</f>
        <v>MS-M9024</v>
      </c>
      <c r="M97" t="str">
        <f>'Kubernetes security checklists'!C18</f>
        <v>mutual TLS (mTLS) should be used to communicate securely with etcd</v>
      </c>
    </row>
    <row r="98" spans="1:14">
      <c r="B98" t="s">
        <v>303</v>
      </c>
      <c r="C98" t="s">
        <v>219</v>
      </c>
      <c r="D98" s="1">
        <v>2.2999999999999998</v>
      </c>
      <c r="E98" s="1"/>
      <c r="G98" s="1">
        <v>2.2999999999999998</v>
      </c>
      <c r="H98" t="str">
        <f>'NSA-CISA k8s hardening'!C$17</f>
        <v>Etcd</v>
      </c>
      <c r="I98" t="str">
        <f>'K8S STIG'!B9</f>
        <v>V-242379</v>
      </c>
      <c r="K98" t="str">
        <f>'PCI Container Guidance'!A25</f>
        <v>4.3.a</v>
      </c>
      <c r="L98" t="str">
        <f>'MS TM for K8S'!A$31</f>
        <v>MS-M9024</v>
      </c>
      <c r="M98" t="str">
        <f>'Kubernetes security checklists'!C18</f>
        <v>mutual TLS (mTLS) should be used to communicate securely with etcd</v>
      </c>
    </row>
    <row r="99" spans="1:14">
      <c r="B99" t="s">
        <v>304</v>
      </c>
      <c r="C99" t="s">
        <v>219</v>
      </c>
      <c r="D99" s="1">
        <v>2.4</v>
      </c>
      <c r="E99" s="1"/>
      <c r="G99" s="1">
        <v>2.4</v>
      </c>
      <c r="H99" t="str">
        <f>'NSA-CISA k8s hardening'!C$17</f>
        <v>Etcd</v>
      </c>
      <c r="I99" t="str" cm="1">
        <f t="array" ref="I99:I100">'K8S STIG'!B61:B62</f>
        <v>V-242432</v>
      </c>
      <c r="K99" t="str">
        <f>'PCI Container Guidance'!A25</f>
        <v>4.3.a</v>
      </c>
      <c r="L99" t="str">
        <f>'MS TM for K8S'!A$31</f>
        <v>MS-M9024</v>
      </c>
      <c r="M99" t="str">
        <f>'Kubernetes security checklists'!C18</f>
        <v>mutual TLS (mTLS) should be used to communicate securely with etcd</v>
      </c>
    </row>
    <row r="100" spans="1:14">
      <c r="D100" s="1"/>
      <c r="E100" s="1"/>
      <c r="G100" s="1"/>
      <c r="I100" t="str">
        <v>V-242433</v>
      </c>
    </row>
    <row r="101" spans="1:14">
      <c r="B101" t="s">
        <v>305</v>
      </c>
      <c r="C101" t="s">
        <v>219</v>
      </c>
      <c r="D101" s="1">
        <v>2.5</v>
      </c>
      <c r="E101" s="1"/>
      <c r="G101" s="1">
        <v>2.5</v>
      </c>
      <c r="H101" t="str">
        <f>'NSA-CISA k8s hardening'!C$17</f>
        <v>Etcd</v>
      </c>
      <c r="I101" t="str">
        <f>'K8S STIG'!B55</f>
        <v>V-242426</v>
      </c>
      <c r="K101" t="str">
        <f>'PCI Container Guidance'!A25</f>
        <v>4.3.a</v>
      </c>
      <c r="L101" t="str">
        <f>'MS TM for K8S'!A$31</f>
        <v>MS-M9024</v>
      </c>
      <c r="M101" t="str">
        <f>'Kubernetes security checklists'!C18</f>
        <v>mutual TLS (mTLS) should be used to communicate securely with etcd</v>
      </c>
    </row>
    <row r="102" spans="1:14">
      <c r="B102" t="s">
        <v>306</v>
      </c>
      <c r="C102" t="s">
        <v>219</v>
      </c>
      <c r="D102" s="1">
        <v>2.6</v>
      </c>
      <c r="E102" s="1"/>
      <c r="G102" s="1">
        <v>2.6</v>
      </c>
      <c r="H102" t="str">
        <f>'NSA-CISA k8s hardening'!C$17</f>
        <v>Etcd</v>
      </c>
      <c r="I102" t="str">
        <f>'K8S STIG'!B10</f>
        <v>V-242380</v>
      </c>
      <c r="K102" t="str">
        <f>'PCI Container Guidance'!A25</f>
        <v>4.3.a</v>
      </c>
      <c r="L102" t="str">
        <f>'MS TM for K8S'!A$31</f>
        <v>MS-M9024</v>
      </c>
      <c r="M102" t="str">
        <f>'Kubernetes security checklists'!C18</f>
        <v>mutual TLS (mTLS) should be used to communicate securely with etcd</v>
      </c>
    </row>
    <row r="103" spans="1:14">
      <c r="B103" t="s">
        <v>307</v>
      </c>
      <c r="C103" t="s">
        <v>219</v>
      </c>
      <c r="D103" s="1">
        <v>2.7</v>
      </c>
      <c r="E103" s="1"/>
      <c r="G103" s="1">
        <v>2.7</v>
      </c>
      <c r="H103" t="str">
        <f>'NSA-CISA k8s hardening'!C$17</f>
        <v>Etcd</v>
      </c>
      <c r="K103" t="str">
        <f>'PCI Container Guidance'!A29</f>
        <v>5.2.a</v>
      </c>
      <c r="L103" t="str">
        <f>'MS TM for K8S'!A$31</f>
        <v>MS-M9024</v>
      </c>
      <c r="M103" t="str">
        <f>'Kubernetes security checklists'!C19</f>
        <v>certificate authority for etcd should be unique</v>
      </c>
    </row>
    <row r="104" spans="1:14">
      <c r="B104" t="s">
        <v>597</v>
      </c>
      <c r="C104" t="s">
        <v>996</v>
      </c>
      <c r="D104" t="s">
        <v>595</v>
      </c>
      <c r="G104" s="1"/>
      <c r="H104" t="str">
        <f>'NSA-CISA k8s hardening'!C$17</f>
        <v>Etcd</v>
      </c>
      <c r="I104" t="str">
        <f>'K8S STIG'!B42</f>
        <v>V-242413</v>
      </c>
      <c r="J104" t="str">
        <f>BSI!A13</f>
        <v>APP.4.4.A7</v>
      </c>
      <c r="K104" t="str">
        <f>'PCI Container Guidance'!A24</f>
        <v>4.2.a</v>
      </c>
      <c r="L104" t="str">
        <f>'MS TM for K8S'!A31</f>
        <v>MS-M9024</v>
      </c>
      <c r="M104" t="str">
        <f>'Kubernetes security checklists'!C17</f>
        <v>etcd datastore of the control plane should have controls to limit access and not be publicly exposed on the Internet</v>
      </c>
      <c r="N104" t="str">
        <f>OWASP!B10</f>
        <v>Restricting Access To etcd</v>
      </c>
    </row>
    <row r="105" spans="1:14" ht="18" thickBot="1">
      <c r="A105" s="4" t="s">
        <v>308</v>
      </c>
      <c r="B105" s="4"/>
      <c r="C105" s="4"/>
      <c r="D105" s="10"/>
      <c r="E105" s="10"/>
      <c r="F105" s="4"/>
      <c r="G105" s="10"/>
      <c r="H105" s="4"/>
      <c r="I105" s="4"/>
      <c r="J105" s="4"/>
      <c r="K105" s="4"/>
      <c r="L105" s="4"/>
      <c r="M105" s="4"/>
      <c r="N105" s="4"/>
    </row>
    <row r="106" spans="1:14" ht="15.6" thickTop="1" thickBot="1">
      <c r="A106" s="8" t="s">
        <v>309</v>
      </c>
      <c r="B106" s="8"/>
      <c r="C106" s="8"/>
      <c r="D106" s="11"/>
      <c r="E106" s="11"/>
      <c r="F106" s="8"/>
      <c r="G106" s="11"/>
      <c r="H106" s="8"/>
      <c r="I106" s="8"/>
      <c r="J106" s="8"/>
      <c r="K106" s="8"/>
      <c r="L106" s="8"/>
      <c r="M106" s="8"/>
      <c r="N106" s="8"/>
    </row>
    <row r="107" spans="1:14">
      <c r="B107" t="s">
        <v>314</v>
      </c>
      <c r="C107" t="s">
        <v>219</v>
      </c>
      <c r="D107" t="s">
        <v>310</v>
      </c>
      <c r="G107" t="s">
        <v>310</v>
      </c>
      <c r="J107" t="str">
        <f>BSI!A$8</f>
        <v>APP.4.4.A3</v>
      </c>
      <c r="K107" t="str">
        <f>'PCI Container Guidance'!A27</f>
        <v>5.1.a</v>
      </c>
      <c r="L107" t="str">
        <f>'MS TM for K8S'!A$16</f>
        <v>MS-M9009</v>
      </c>
      <c r="N107" t="str">
        <f>OWASP!C16</f>
        <v>Options for Kubernetes Built-In API Authentication</v>
      </c>
    </row>
    <row r="108" spans="1:14">
      <c r="B108" t="s">
        <v>315</v>
      </c>
      <c r="C108" t="s">
        <v>219</v>
      </c>
      <c r="D108" t="s">
        <v>311</v>
      </c>
      <c r="G108" t="s">
        <v>311</v>
      </c>
      <c r="H108" t="str">
        <f>'NSA-CISA k8s hardening'!B$24</f>
        <v>Authentication</v>
      </c>
      <c r="J108" t="str">
        <f>BSI!A$8</f>
        <v>APP.4.4.A3</v>
      </c>
      <c r="K108" t="str">
        <f>'PCI Container Guidance'!A8</f>
        <v>1.3.a</v>
      </c>
      <c r="L108" t="str">
        <f>'MS TM for K8S'!A$16</f>
        <v>MS-M9009</v>
      </c>
      <c r="N108" t="str">
        <f>OWASP!C16</f>
        <v>Options for Kubernetes Built-In API Authentication</v>
      </c>
    </row>
    <row r="109" spans="1:14">
      <c r="B109" t="s">
        <v>316</v>
      </c>
      <c r="C109" t="s">
        <v>219</v>
      </c>
      <c r="D109" t="s">
        <v>312</v>
      </c>
      <c r="G109" t="s">
        <v>312</v>
      </c>
      <c r="J109" t="str">
        <f>BSI!A$8</f>
        <v>APP.4.4.A3</v>
      </c>
      <c r="L109" t="str">
        <f>'MS TM for K8S'!A$16</f>
        <v>MS-M9009</v>
      </c>
    </row>
    <row r="110" spans="1:14" ht="15" thickBot="1">
      <c r="A110" s="8" t="s">
        <v>5</v>
      </c>
      <c r="B110" s="8"/>
      <c r="C110" s="8"/>
      <c r="D110" s="11"/>
      <c r="E110" s="11"/>
      <c r="F110" s="8"/>
      <c r="G110" s="11"/>
      <c r="H110" s="8"/>
      <c r="I110" s="8"/>
      <c r="J110" s="8"/>
      <c r="K110" s="8"/>
      <c r="L110" s="8"/>
      <c r="M110" s="8"/>
      <c r="N110" s="8"/>
    </row>
    <row r="111" spans="1:14">
      <c r="B111" t="s">
        <v>317</v>
      </c>
      <c r="C111" t="s">
        <v>219</v>
      </c>
      <c r="D111" t="s">
        <v>34</v>
      </c>
      <c r="G111" t="s">
        <v>34</v>
      </c>
      <c r="H111" t="str">
        <f>'NSA-CISA k8s hardening'!B$27</f>
        <v>Logging</v>
      </c>
      <c r="I111" t="str">
        <f>'K8S STIG'!B90</f>
        <v>V-242461</v>
      </c>
      <c r="K111" t="str">
        <f>'PCI Container Guidance'!A34</f>
        <v>7.1.a</v>
      </c>
      <c r="N111" t="str">
        <f>OWASP!C57</f>
        <v xml:space="preserve">Enable audit logging </v>
      </c>
    </row>
    <row r="112" spans="1:14">
      <c r="B112" t="s">
        <v>318</v>
      </c>
      <c r="C112" t="s">
        <v>219</v>
      </c>
      <c r="D112" t="s">
        <v>313</v>
      </c>
      <c r="G112" t="s">
        <v>313</v>
      </c>
      <c r="H112" t="str">
        <f>'NSA-CISA k8s hardening'!B$27</f>
        <v>Logging</v>
      </c>
      <c r="I112" t="str">
        <f>'K8S STIG'!B32</f>
        <v>V-242403</v>
      </c>
      <c r="K112" t="str">
        <f>'PCI Container Guidance'!A34</f>
        <v>7.1.a</v>
      </c>
    </row>
    <row r="113" spans="1:14">
      <c r="B113" t="s">
        <v>1086</v>
      </c>
      <c r="C113" t="s">
        <v>1152</v>
      </c>
      <c r="H113" t="str">
        <f>'NSA-CISA k8s hardening'!B27</f>
        <v>Logging</v>
      </c>
      <c r="K113" t="str">
        <f>'PCI Container Guidance'!A34</f>
        <v>7.1.a</v>
      </c>
      <c r="L113" t="str">
        <f>'MS TM for K8S'!A27</f>
        <v>MS-M9020</v>
      </c>
      <c r="M113" t="str">
        <f>'Kubernetes security checklists'!C28</f>
        <v>Audit logs, if enabled, are protected from general access.</v>
      </c>
      <c r="N113" t="str">
        <f>OWASP!C58</f>
        <v>Define Audit Policies</v>
      </c>
    </row>
    <row r="114" spans="1:14">
      <c r="B114" t="s">
        <v>203</v>
      </c>
      <c r="H114" t="str">
        <f>'NSA-CISA k8s hardening'!C29</f>
        <v>Worker node and container logging</v>
      </c>
      <c r="K114" t="str">
        <f>'PCI Container Guidance'!A36</f>
        <v>8.1.a</v>
      </c>
      <c r="L114" t="str">
        <f>'MS TM for K8S'!A27</f>
        <v>MS-M9020</v>
      </c>
      <c r="M114" t="str">
        <f>'Kubernetes security checklists'!C28</f>
        <v>Audit logs, if enabled, are protected from general access.</v>
      </c>
      <c r="N114" t="str">
        <f>OWASP!C59</f>
        <v>Understand Logging</v>
      </c>
    </row>
    <row r="115" spans="1:14" ht="18" thickBot="1">
      <c r="A115" s="4" t="s">
        <v>6</v>
      </c>
      <c r="B115" s="4"/>
      <c r="C115" s="4"/>
      <c r="D115" s="10"/>
      <c r="E115" s="10"/>
      <c r="F115" s="4"/>
      <c r="G115" s="10"/>
      <c r="H115" s="4"/>
      <c r="I115" s="4"/>
      <c r="J115" s="4"/>
      <c r="K115" s="4"/>
      <c r="L115" s="4"/>
      <c r="M115" s="4"/>
      <c r="N115" s="4"/>
    </row>
    <row r="116" spans="1:14" ht="13.8" thickTop="1">
      <c r="B116" t="s">
        <v>68</v>
      </c>
      <c r="C116" t="s">
        <v>996</v>
      </c>
      <c r="D116" t="s">
        <v>520</v>
      </c>
      <c r="G116" s="1"/>
      <c r="H116" t="str">
        <f>'NSA-CISA k8s hardening'!B$19</f>
        <v>Worker node segmentation</v>
      </c>
      <c r="I116" t="str">
        <f>'K8S STIG'!B23</f>
        <v>V-242393</v>
      </c>
    </row>
    <row r="117" spans="1:14">
      <c r="B117" t="s">
        <v>525</v>
      </c>
      <c r="C117" t="s">
        <v>996</v>
      </c>
      <c r="D117" t="s">
        <v>523</v>
      </c>
      <c r="G117" s="1"/>
      <c r="H117" t="str">
        <f>'NSA-CISA k8s hardening'!B$19</f>
        <v>Worker node segmentation</v>
      </c>
      <c r="I117" t="str">
        <f>'K8S STIG'!B24</f>
        <v>V-242394</v>
      </c>
    </row>
    <row r="118" spans="1:14">
      <c r="B118" t="s">
        <v>533</v>
      </c>
      <c r="C118" t="s">
        <v>996</v>
      </c>
      <c r="D118" t="s">
        <v>531</v>
      </c>
      <c r="G118" s="1"/>
      <c r="I118" t="str">
        <f>'K8S STIG'!B26</f>
        <v>V-242396</v>
      </c>
    </row>
    <row r="119" spans="1:14">
      <c r="B119" t="s">
        <v>541</v>
      </c>
      <c r="C119" t="s">
        <v>996</v>
      </c>
      <c r="D119" t="s">
        <v>539</v>
      </c>
      <c r="G119" s="1"/>
      <c r="I119" t="str">
        <f>'K8S STIG'!B28</f>
        <v>V-242398</v>
      </c>
    </row>
    <row r="120" spans="1:14">
      <c r="B120" t="s">
        <v>721</v>
      </c>
      <c r="C120" t="s">
        <v>996</v>
      </c>
      <c r="D120" t="s">
        <v>719</v>
      </c>
      <c r="G120" s="1"/>
      <c r="I120" t="str">
        <f>'K8S STIG'!B73</f>
        <v>V-242443</v>
      </c>
    </row>
    <row r="121" spans="1:14" ht="15" thickBot="1">
      <c r="A121" s="8" t="s">
        <v>319</v>
      </c>
      <c r="B121" s="8"/>
      <c r="C121" s="8"/>
      <c r="D121" s="11"/>
      <c r="E121" s="11"/>
      <c r="F121" s="8"/>
      <c r="G121" s="11"/>
      <c r="H121" s="8"/>
      <c r="I121" s="8"/>
      <c r="J121" s="8"/>
      <c r="K121" s="8"/>
      <c r="L121" s="8"/>
      <c r="M121" s="8"/>
      <c r="N121" s="8"/>
    </row>
    <row r="122" spans="1:14">
      <c r="B122" t="s">
        <v>330</v>
      </c>
      <c r="C122" t="s">
        <v>219</v>
      </c>
      <c r="D122" t="s">
        <v>320</v>
      </c>
      <c r="G122" t="s">
        <v>320</v>
      </c>
      <c r="I122" t="str">
        <f>'K8S STIG'!B85</f>
        <v>V-242455</v>
      </c>
      <c r="J122" t="str">
        <f>BSI!A$14</f>
        <v>APP.4.4.A8</v>
      </c>
    </row>
    <row r="123" spans="1:14">
      <c r="B123" t="s">
        <v>331</v>
      </c>
      <c r="C123" t="s">
        <v>219</v>
      </c>
      <c r="D123" t="s">
        <v>321</v>
      </c>
      <c r="G123" t="s">
        <v>321</v>
      </c>
      <c r="I123" t="str">
        <f>'K8S STIG'!B84</f>
        <v>V-242454</v>
      </c>
      <c r="J123" t="str">
        <f>BSI!A$14</f>
        <v>APP.4.4.A8</v>
      </c>
    </row>
    <row r="124" spans="1:14">
      <c r="B124" t="s">
        <v>332</v>
      </c>
      <c r="C124" t="s">
        <v>219</v>
      </c>
      <c r="D124" t="s">
        <v>322</v>
      </c>
      <c r="G124" t="s">
        <v>322</v>
      </c>
      <c r="H124" t="str">
        <f>'NSA-CISA k8s hardening'!C$18</f>
        <v>Kubeconfig Files</v>
      </c>
      <c r="I124" t="str">
        <f>'K8S STIG'!B77</f>
        <v>V-242447</v>
      </c>
      <c r="J124" t="str">
        <f>BSI!A$14</f>
        <v>APP.4.4.A8</v>
      </c>
    </row>
    <row r="125" spans="1:14">
      <c r="B125" t="s">
        <v>333</v>
      </c>
      <c r="C125" t="s">
        <v>219</v>
      </c>
      <c r="D125" t="s">
        <v>323</v>
      </c>
      <c r="G125" t="s">
        <v>323</v>
      </c>
      <c r="H125" t="str">
        <f>'NSA-CISA k8s hardening'!C$18</f>
        <v>Kubeconfig Files</v>
      </c>
      <c r="I125" t="str">
        <f>'K8S STIG'!B78</f>
        <v>V-242448</v>
      </c>
      <c r="J125" t="str">
        <f>BSI!A$14</f>
        <v>APP.4.4.A8</v>
      </c>
    </row>
    <row r="126" spans="1:14">
      <c r="B126" t="s">
        <v>334</v>
      </c>
      <c r="C126" t="s">
        <v>219</v>
      </c>
      <c r="D126" t="s">
        <v>324</v>
      </c>
      <c r="G126" t="s">
        <v>324</v>
      </c>
      <c r="H126" t="str">
        <f>'NSA-CISA k8s hardening'!C$18</f>
        <v>Kubeconfig Files</v>
      </c>
      <c r="I126" t="str">
        <f>'K8S STIG'!B82</f>
        <v>V-242452</v>
      </c>
      <c r="J126" t="str">
        <f>BSI!A$14</f>
        <v>APP.4.4.A8</v>
      </c>
    </row>
    <row r="127" spans="1:14">
      <c r="B127" t="s">
        <v>335</v>
      </c>
      <c r="C127" t="s">
        <v>219</v>
      </c>
      <c r="D127" t="s">
        <v>325</v>
      </c>
      <c r="G127" t="s">
        <v>325</v>
      </c>
      <c r="H127" t="str">
        <f>'NSA-CISA k8s hardening'!C$18</f>
        <v>Kubeconfig Files</v>
      </c>
      <c r="I127" t="str">
        <f>'K8S STIG'!B83</f>
        <v>V-242453</v>
      </c>
      <c r="J127" t="str">
        <f>BSI!A$14</f>
        <v>APP.4.4.A8</v>
      </c>
    </row>
    <row r="128" spans="1:14">
      <c r="B128" t="s">
        <v>336</v>
      </c>
      <c r="C128" t="s">
        <v>219</v>
      </c>
      <c r="D128" t="s">
        <v>326</v>
      </c>
      <c r="G128" t="s">
        <v>326</v>
      </c>
      <c r="I128" t="str">
        <f>'K8S STIG'!B79</f>
        <v>V-242449</v>
      </c>
      <c r="J128" t="str">
        <f>BSI!A$14</f>
        <v>APP.4.4.A8</v>
      </c>
    </row>
    <row r="129" spans="1:14">
      <c r="B129" t="s">
        <v>337</v>
      </c>
      <c r="C129" t="s">
        <v>219</v>
      </c>
      <c r="D129" t="s">
        <v>327</v>
      </c>
      <c r="G129" t="s">
        <v>327</v>
      </c>
      <c r="I129" t="str">
        <f>'K8S STIG'!B80</f>
        <v>V-242450</v>
      </c>
      <c r="J129" t="str">
        <f>BSI!A$14</f>
        <v>APP.4.4.A8</v>
      </c>
    </row>
    <row r="130" spans="1:14">
      <c r="B130" t="s">
        <v>338</v>
      </c>
      <c r="C130" t="s">
        <v>219</v>
      </c>
      <c r="D130" t="s">
        <v>328</v>
      </c>
      <c r="G130" t="s">
        <v>328</v>
      </c>
      <c r="I130" t="str">
        <f>'K8S STIG'!B86</f>
        <v>V-242456</v>
      </c>
      <c r="J130" t="str">
        <f>BSI!A$14</f>
        <v>APP.4.4.A8</v>
      </c>
    </row>
    <row r="131" spans="1:14">
      <c r="B131" t="s">
        <v>339</v>
      </c>
      <c r="C131" t="s">
        <v>219</v>
      </c>
      <c r="D131" t="s">
        <v>329</v>
      </c>
      <c r="G131" t="s">
        <v>329</v>
      </c>
      <c r="I131" t="str">
        <f>'K8S STIG'!B87</f>
        <v>V-242457</v>
      </c>
      <c r="J131" t="str">
        <f>BSI!A$14</f>
        <v>APP.4.4.A8</v>
      </c>
      <c r="K131" t="str">
        <f>'PCI Container Guidance'!A8</f>
        <v>1.3.a</v>
      </c>
    </row>
    <row r="132" spans="1:14" ht="15" thickBot="1">
      <c r="A132" s="8" t="s">
        <v>7</v>
      </c>
      <c r="B132" s="8"/>
      <c r="C132" s="8"/>
      <c r="D132" s="11"/>
      <c r="E132" s="11"/>
      <c r="F132" s="8"/>
      <c r="G132" s="11"/>
      <c r="H132" s="8"/>
      <c r="I132" s="8"/>
      <c r="J132" s="8"/>
      <c r="K132" s="8"/>
      <c r="L132" s="8"/>
      <c r="M132" s="8"/>
      <c r="N132" s="8"/>
    </row>
    <row r="133" spans="1:14">
      <c r="B133" t="s">
        <v>257</v>
      </c>
      <c r="C133" t="s">
        <v>219</v>
      </c>
      <c r="D133" t="s">
        <v>340</v>
      </c>
      <c r="G133" t="s">
        <v>340</v>
      </c>
      <c r="H133" t="str">
        <f>'NSA-CISA k8s hardening'!B$24</f>
        <v>Authentication</v>
      </c>
      <c r="I133" t="str">
        <f>'K8S STIG'!B22</f>
        <v>V-242391</v>
      </c>
      <c r="K133" t="str">
        <f>'PCI Container Guidance'!A6</f>
        <v>1.1.a</v>
      </c>
      <c r="N133" t="str">
        <f>OWASP!B18</f>
        <v>Limiting access to the Kubelets</v>
      </c>
    </row>
    <row r="134" spans="1:14">
      <c r="B134" t="s">
        <v>262</v>
      </c>
      <c r="C134" t="s">
        <v>219</v>
      </c>
      <c r="D134" t="s">
        <v>341</v>
      </c>
      <c r="G134" t="s">
        <v>341</v>
      </c>
      <c r="H134" t="str">
        <f>'NSA-CISA k8s hardening'!B$24</f>
        <v>Authentication</v>
      </c>
      <c r="I134" t="str">
        <f>'K8S STIG'!B21</f>
        <v>V-242392</v>
      </c>
      <c r="K134" t="str">
        <f>'PCI Container Guidance'!A6</f>
        <v>1.1.a</v>
      </c>
    </row>
    <row r="135" spans="1:14">
      <c r="B135" t="s">
        <v>281</v>
      </c>
      <c r="C135" t="s">
        <v>219</v>
      </c>
      <c r="D135" t="s">
        <v>342</v>
      </c>
      <c r="G135" t="s">
        <v>342</v>
      </c>
      <c r="I135" t="str">
        <f>'K8S STIG'!B48</f>
        <v>V-242420</v>
      </c>
      <c r="K135" t="str">
        <f>'PCI Container Guidance'!A29</f>
        <v>5.2.a</v>
      </c>
    </row>
    <row r="136" spans="1:14">
      <c r="B136" t="s">
        <v>354</v>
      </c>
      <c r="C136" t="s">
        <v>219</v>
      </c>
      <c r="D136" t="s">
        <v>343</v>
      </c>
      <c r="G136" t="s">
        <v>343</v>
      </c>
      <c r="I136" t="str">
        <f>'K8S STIG'!B17</f>
        <v>V-242387</v>
      </c>
    </row>
    <row r="137" spans="1:14">
      <c r="B137" t="s">
        <v>355</v>
      </c>
      <c r="C137" t="s">
        <v>219</v>
      </c>
      <c r="D137" t="s">
        <v>344</v>
      </c>
      <c r="G137" t="s">
        <v>344</v>
      </c>
      <c r="I137" t="str">
        <f>'K8S STIG'!B45</f>
        <v>V-245541</v>
      </c>
    </row>
    <row r="138" spans="1:14">
      <c r="B138" t="s">
        <v>356</v>
      </c>
      <c r="C138" t="s">
        <v>219</v>
      </c>
      <c r="D138" t="s">
        <v>345</v>
      </c>
      <c r="G138" t="s">
        <v>345</v>
      </c>
    </row>
    <row r="139" spans="1:14">
      <c r="B139" t="s">
        <v>357</v>
      </c>
      <c r="C139" t="s">
        <v>219</v>
      </c>
      <c r="D139" t="s">
        <v>346</v>
      </c>
      <c r="G139" t="s">
        <v>346</v>
      </c>
      <c r="I139" t="str">
        <f>'K8S STIG'!B33</f>
        <v>V-242404</v>
      </c>
    </row>
    <row r="140" spans="1:14">
      <c r="B140" t="s">
        <v>358</v>
      </c>
      <c r="C140" t="s">
        <v>219</v>
      </c>
      <c r="D140" t="s">
        <v>347</v>
      </c>
      <c r="G140" t="s">
        <v>347</v>
      </c>
    </row>
    <row r="141" spans="1:14">
      <c r="B141" t="s">
        <v>280</v>
      </c>
      <c r="C141" t="s">
        <v>219</v>
      </c>
      <c r="D141" t="s">
        <v>348</v>
      </c>
      <c r="G141" t="s">
        <v>348</v>
      </c>
      <c r="H141" t="str">
        <f>'NSA-CISA k8s hardening'!B20</f>
        <v>Encryption</v>
      </c>
      <c r="I141" t="str" cm="1">
        <f t="array" ref="I141:I142">'K8S STIG'!B53:B54</f>
        <v>V-242424</v>
      </c>
      <c r="K141" t="str">
        <f>'PCI Container Guidance'!A25</f>
        <v>4.3.a</v>
      </c>
    </row>
    <row r="142" spans="1:14">
      <c r="I142" t="str">
        <v>V-242425</v>
      </c>
    </row>
    <row r="143" spans="1:14">
      <c r="B143" t="s">
        <v>359</v>
      </c>
      <c r="C143" t="s">
        <v>219</v>
      </c>
      <c r="D143" t="s">
        <v>349</v>
      </c>
      <c r="G143" t="s">
        <v>349</v>
      </c>
      <c r="K143" t="str">
        <f>'PCI Container Guidance'!A28</f>
        <v>5.1.b</v>
      </c>
      <c r="N143" t="str">
        <f>OWASP!B55</f>
        <v>Rotate infrastructure credentials frequently</v>
      </c>
    </row>
    <row r="144" spans="1:14">
      <c r="B144" t="s">
        <v>360</v>
      </c>
      <c r="C144" t="s">
        <v>219</v>
      </c>
      <c r="D144" t="s">
        <v>350</v>
      </c>
      <c r="G144" t="s">
        <v>350</v>
      </c>
      <c r="K144" t="str">
        <f>'PCI Container Guidance'!A28</f>
        <v>5.1.b</v>
      </c>
      <c r="N144" t="str">
        <f>OWASP!B55</f>
        <v>Rotate infrastructure credentials frequently</v>
      </c>
    </row>
    <row r="145" spans="1:14">
      <c r="B145" t="s">
        <v>361</v>
      </c>
      <c r="C145" t="s">
        <v>219</v>
      </c>
      <c r="D145" t="s">
        <v>351</v>
      </c>
      <c r="G145" t="s">
        <v>351</v>
      </c>
      <c r="K145" t="str">
        <f>'PCI Container Guidance'!A25</f>
        <v>4.3.a</v>
      </c>
    </row>
    <row r="146" spans="1:14">
      <c r="B146" t="s">
        <v>362</v>
      </c>
      <c r="C146" t="s">
        <v>219</v>
      </c>
      <c r="D146" t="s">
        <v>352</v>
      </c>
      <c r="G146" t="s">
        <v>352</v>
      </c>
      <c r="H146" t="str">
        <f>'NSA-CISA k8s hardening'!B15</f>
        <v>Resource policies</v>
      </c>
    </row>
    <row r="147" spans="1:14">
      <c r="B147" t="s">
        <v>363</v>
      </c>
      <c r="C147" t="s">
        <v>219</v>
      </c>
      <c r="D147" t="s">
        <v>353</v>
      </c>
      <c r="G147" t="s">
        <v>353</v>
      </c>
      <c r="H147" t="str">
        <f>'NSA-CISA k8s hardening'!B11</f>
        <v>Hardening container environments</v>
      </c>
      <c r="J147" t="str">
        <f>BSI!A9</f>
        <v>APP.4.4.A4</v>
      </c>
      <c r="K147" t="str">
        <f>'PCI Container Guidance'!A19</f>
        <v>3.1.a</v>
      </c>
    </row>
    <row r="148" spans="1:14">
      <c r="B148" t="s">
        <v>537</v>
      </c>
      <c r="C148" t="s">
        <v>996</v>
      </c>
      <c r="D148" t="s">
        <v>535</v>
      </c>
      <c r="I148" t="str">
        <f>'K8S STIG'!B27</f>
        <v>V-242397</v>
      </c>
    </row>
    <row r="149" spans="1:14">
      <c r="B149" t="s">
        <v>545</v>
      </c>
      <c r="C149" t="s">
        <v>996</v>
      </c>
      <c r="D149" t="s">
        <v>543</v>
      </c>
      <c r="I149" t="str">
        <f>'K8S STIG'!B29</f>
        <v>V-242399</v>
      </c>
    </row>
    <row r="150" spans="1:14">
      <c r="B150" t="s">
        <v>681</v>
      </c>
      <c r="C150" t="s">
        <v>996</v>
      </c>
      <c r="D150" t="s">
        <v>679</v>
      </c>
      <c r="I150" t="str">
        <f>'K8S STIG'!B63</f>
        <v>V-242434</v>
      </c>
    </row>
    <row r="151" spans="1:14">
      <c r="B151" t="s">
        <v>1079</v>
      </c>
      <c r="C151" t="s">
        <v>1152</v>
      </c>
      <c r="J151" t="str">
        <f>BSI!A13</f>
        <v>APP.4.4.A7</v>
      </c>
      <c r="K151" t="str">
        <f>'PCI Container Guidance'!A24</f>
        <v>4.2.a</v>
      </c>
      <c r="M151" t="str">
        <f>'Kubernetes security checklists'!C21</f>
        <v>The kubelet API access should be restricted and not exposed publicly</v>
      </c>
      <c r="N151" t="str">
        <f>OWASP!B12</f>
        <v>Controlling Network Access to Sensitive Ports</v>
      </c>
    </row>
    <row r="152" spans="1:14" ht="15" thickBot="1">
      <c r="A152" s="8" t="s">
        <v>364</v>
      </c>
      <c r="B152" s="8"/>
      <c r="C152" s="8"/>
      <c r="D152" s="11"/>
      <c r="E152" s="11"/>
      <c r="F152" s="8"/>
      <c r="G152" s="11"/>
      <c r="H152" s="8"/>
      <c r="I152" s="8"/>
      <c r="J152" s="8"/>
      <c r="K152" s="8"/>
      <c r="L152" s="8"/>
      <c r="M152" s="8"/>
      <c r="N152" s="8"/>
    </row>
    <row r="153" spans="1:14">
      <c r="B153" t="s">
        <v>366</v>
      </c>
      <c r="C153" t="s">
        <v>219</v>
      </c>
      <c r="D153" t="s">
        <v>365</v>
      </c>
      <c r="G153" t="s">
        <v>365</v>
      </c>
      <c r="K153" t="str">
        <f>'PCI Container Guidance'!A24</f>
        <v>4.2.a</v>
      </c>
    </row>
    <row r="154" spans="1:14" ht="18" thickBot="1">
      <c r="A154" s="4" t="s">
        <v>175</v>
      </c>
      <c r="B154" s="4"/>
      <c r="C154" s="4"/>
      <c r="D154" s="10"/>
      <c r="E154" s="10"/>
      <c r="F154" s="4"/>
      <c r="G154" s="10"/>
      <c r="H154" s="4"/>
      <c r="I154" s="4"/>
      <c r="J154" s="4"/>
      <c r="K154" s="4"/>
      <c r="L154" s="4"/>
      <c r="M154" s="4"/>
      <c r="N154" s="4"/>
    </row>
    <row r="155" spans="1:14" ht="15.6" thickTop="1" thickBot="1">
      <c r="A155" s="8" t="s">
        <v>367</v>
      </c>
      <c r="B155" s="8"/>
      <c r="C155" s="8"/>
      <c r="D155" s="11"/>
      <c r="E155" s="11"/>
      <c r="F155" s="8"/>
      <c r="G155" s="11"/>
      <c r="H155" s="8"/>
      <c r="I155" s="8"/>
      <c r="J155" s="8"/>
      <c r="K155" s="8"/>
      <c r="L155" s="8"/>
      <c r="M155" s="8"/>
      <c r="N155" s="8"/>
    </row>
    <row r="156" spans="1:14">
      <c r="B156" t="s">
        <v>381</v>
      </c>
      <c r="C156" t="s">
        <v>219</v>
      </c>
      <c r="D156" t="s">
        <v>368</v>
      </c>
      <c r="E156" t="str">
        <f>'KALM-Checks'!B48</f>
        <v>RBAC-001</v>
      </c>
      <c r="G156" t="s">
        <v>368</v>
      </c>
      <c r="H156" t="str">
        <f>'NSA-CISA k8s hardening'!B$25</f>
        <v>Role-based access control</v>
      </c>
      <c r="J156" t="str">
        <f>BSI!A$15</f>
        <v>APP.4.4.A9</v>
      </c>
      <c r="K156" t="str">
        <f>'PCI Container Guidance'!A15</f>
        <v>2.2.a</v>
      </c>
      <c r="L156" t="str">
        <f>'MS TM for K8S'!A$7</f>
        <v>MS-M9003</v>
      </c>
    </row>
    <row r="157" spans="1:14">
      <c r="B157" t="s">
        <v>382</v>
      </c>
      <c r="C157" t="s">
        <v>219</v>
      </c>
      <c r="D157" t="s">
        <v>369</v>
      </c>
      <c r="E157" t="str">
        <f>'KALM-Checks'!B49</f>
        <v>RBAC-002</v>
      </c>
      <c r="G157" t="s">
        <v>369</v>
      </c>
      <c r="H157" t="str">
        <f>'NSA-CISA k8s hardening'!B$21</f>
        <v>Secrets</v>
      </c>
      <c r="J157" t="str">
        <f>BSI!A$15</f>
        <v>APP.4.4.A9</v>
      </c>
      <c r="K157" t="str">
        <f>'PCI Container Guidance'!A11</f>
        <v>1.5.b</v>
      </c>
      <c r="L157" t="str">
        <f>'MS TM for K8S'!A$7</f>
        <v>MS-M9003</v>
      </c>
    </row>
    <row r="158" spans="1:14">
      <c r="B158" t="s">
        <v>383</v>
      </c>
      <c r="C158" t="s">
        <v>219</v>
      </c>
      <c r="D158" t="s">
        <v>370</v>
      </c>
      <c r="E158" t="str">
        <f>'KALM-Checks'!B50</f>
        <v>RBAC-003</v>
      </c>
      <c r="G158" t="s">
        <v>370</v>
      </c>
      <c r="H158" t="str">
        <f>'NSA-CISA k8s hardening'!B$25</f>
        <v>Role-based access control</v>
      </c>
      <c r="J158" t="str">
        <f>BSI!A$15</f>
        <v>APP.4.4.A9</v>
      </c>
      <c r="K158" t="str">
        <f>'PCI Container Guidance'!A14</f>
        <v>2.1.a</v>
      </c>
      <c r="L158" t="str">
        <f>'MS TM for K8S'!A$7</f>
        <v>MS-M9003</v>
      </c>
    </row>
    <row r="159" spans="1:14">
      <c r="B159" t="s">
        <v>384</v>
      </c>
      <c r="C159" t="s">
        <v>219</v>
      </c>
      <c r="D159" t="s">
        <v>371</v>
      </c>
      <c r="E159" t="str">
        <f>'KALM-Checks'!B51</f>
        <v>RBAC-004</v>
      </c>
      <c r="G159" t="s">
        <v>371</v>
      </c>
      <c r="H159" t="str">
        <f>'NSA-CISA k8s hardening'!B$25</f>
        <v>Role-based access control</v>
      </c>
      <c r="J159" t="str">
        <f>BSI!A$15</f>
        <v>APP.4.4.A9</v>
      </c>
      <c r="K159" t="str">
        <f>'PCI Container Guidance'!A11</f>
        <v>1.5.b</v>
      </c>
      <c r="L159" t="str">
        <f>'MS TM for K8S'!A$7</f>
        <v>MS-M9003</v>
      </c>
      <c r="M159" t="str">
        <f>'Kubernetes security checklists'!C22</f>
        <v>RBAC rights to create, update, patch, delete workloads is only granted if necessary</v>
      </c>
    </row>
    <row r="160" spans="1:14">
      <c r="M160" t="str">
        <f>'Kubernetes security checklists'!C72</f>
        <v>Permissions such as create, patch, update and delete should be only granted if necessary.</v>
      </c>
    </row>
    <row r="161" spans="2:14">
      <c r="B161" t="s">
        <v>385</v>
      </c>
      <c r="C161" t="s">
        <v>219</v>
      </c>
      <c r="D161" t="s">
        <v>372</v>
      </c>
      <c r="E161" t="str">
        <f>'KALM-Checks'!B12</f>
        <v>POD-002</v>
      </c>
      <c r="G161" t="s">
        <v>372</v>
      </c>
      <c r="H161" t="str">
        <f>'NSA-CISA k8s hardening'!B10</f>
        <v>Protecting Pod service account tokens</v>
      </c>
      <c r="J161" t="str">
        <f>BSI!A$15</f>
        <v>APP.4.4.A9</v>
      </c>
      <c r="K161" t="str">
        <f>'PCI Container Guidance'!A7</f>
        <v>1.2.a</v>
      </c>
      <c r="M161" t="str">
        <f>'Kubernetes security checklists'!C34</f>
        <v>Service account tokens are not mounted in pods that don't require them.</v>
      </c>
      <c r="N161" t="str">
        <f>OWASP!C34</f>
        <v>Use Pod security policies to control the security-related attributes of pods, which includes container privilege levels</v>
      </c>
    </row>
    <row r="162" spans="2:14">
      <c r="E162" t="str">
        <f>'KALM-Checks'!B54</f>
        <v>RBAC-007</v>
      </c>
      <c r="M162" t="str">
        <f>'Kubernetes security checklists'!C62</f>
        <v>Avoid using the default ServiceAccount. Instead, create ServiceAccounts for each workload or microservice.</v>
      </c>
    </row>
    <row r="163" spans="2:14">
      <c r="B163" t="s">
        <v>386</v>
      </c>
      <c r="C163" t="s">
        <v>219</v>
      </c>
      <c r="D163" t="s">
        <v>373</v>
      </c>
      <c r="E163" t="str">
        <f>'KALM-Checks'!B13</f>
        <v>POD-003</v>
      </c>
      <c r="G163" t="s">
        <v>373</v>
      </c>
      <c r="H163" t="str">
        <f>'NSA-CISA k8s hardening'!B10</f>
        <v>Protecting Pod service account tokens</v>
      </c>
      <c r="J163" t="str">
        <f>BSI!A$15</f>
        <v>APP.4.4.A9</v>
      </c>
      <c r="K163" t="str">
        <f>'PCI Container Guidance'!A10</f>
        <v>1.5.a</v>
      </c>
      <c r="L163" t="str">
        <f>'MS TM for K8S'!A32</f>
        <v>MS-M9025</v>
      </c>
      <c r="M163" t="str">
        <f>'Kubernetes security checklists'!C34</f>
        <v>Service account tokens are not mounted in pods that don't require them.</v>
      </c>
      <c r="N163" t="str">
        <f>OWASP!C34</f>
        <v>Use Pod security policies to control the security-related attributes of pods, which includes container privilege levels</v>
      </c>
    </row>
    <row r="164" spans="2:14">
      <c r="M164" t="str">
        <f>'Kubernetes security checklists'!C63</f>
        <v>automountServiceAccountToken should be set to false unless the pod specifically requires access to the Kubernetes API to operate.</v>
      </c>
    </row>
    <row r="165" spans="2:14">
      <c r="B165" t="s">
        <v>91</v>
      </c>
      <c r="C165" t="s">
        <v>219</v>
      </c>
      <c r="D165" t="s">
        <v>374</v>
      </c>
      <c r="G165" t="s">
        <v>374</v>
      </c>
      <c r="H165" t="str">
        <f>'NSA-CISA k8s hardening'!B$25</f>
        <v>Role-based access control</v>
      </c>
      <c r="J165" t="str">
        <f>BSI!A$15</f>
        <v>APP.4.4.A9</v>
      </c>
      <c r="K165" t="str">
        <f>'PCI Container Guidance'!A16</f>
        <v>2.2.b</v>
      </c>
      <c r="L165" t="str">
        <f>'MS TM for K8S'!A$7</f>
        <v>MS-M9003</v>
      </c>
      <c r="M165" t="str">
        <f>'Kubernetes security checklists'!C5</f>
        <v>system:masters group is not used for user or component authentication after bootstrapping</v>
      </c>
    </row>
    <row r="166" spans="2:14">
      <c r="B166" t="s">
        <v>387</v>
      </c>
      <c r="C166" t="s">
        <v>219</v>
      </c>
      <c r="D166" t="s">
        <v>375</v>
      </c>
      <c r="E166" t="str">
        <f>'KALM-Checks'!B57</f>
        <v>RBAC-010</v>
      </c>
      <c r="G166" t="s">
        <v>375</v>
      </c>
      <c r="H166" t="str">
        <f>'NSA-CISA k8s hardening'!B$25</f>
        <v>Role-based access control</v>
      </c>
      <c r="J166" t="str">
        <f>BSI!A$15</f>
        <v>APP.4.4.A9</v>
      </c>
      <c r="K166" t="str">
        <f>'PCI Container Guidance'!A11</f>
        <v>1.5.b</v>
      </c>
      <c r="L166" t="str">
        <f>'MS TM for K8S'!A$7</f>
        <v>MS-M9003</v>
      </c>
      <c r="M166" t="str">
        <f>'Kubernetes security checklists'!C73</f>
        <v>Avoid creating RBAC permissions to create or update roles which can lead to privilege escalation.</v>
      </c>
    </row>
    <row r="167" spans="2:14">
      <c r="E167" t="str">
        <f>'KALM-Checks'!B56</f>
        <v>RBAC-009</v>
      </c>
    </row>
    <row r="168" spans="2:14">
      <c r="E168" t="str">
        <f>'KALM-Checks'!B64</f>
        <v>RBAC-020</v>
      </c>
    </row>
    <row r="169" spans="2:14">
      <c r="B169" t="s">
        <v>388</v>
      </c>
      <c r="C169" t="s">
        <v>219</v>
      </c>
      <c r="D169" t="s">
        <v>376</v>
      </c>
      <c r="E169" t="str">
        <f>'KALM-Checks'!B65</f>
        <v>RBAC-021</v>
      </c>
      <c r="G169" t="s">
        <v>376</v>
      </c>
      <c r="H169" t="str">
        <f>'NSA-CISA k8s hardening'!B$25</f>
        <v>Role-based access control</v>
      </c>
      <c r="J169" t="str">
        <f>BSI!A$15</f>
        <v>APP.4.4.A9</v>
      </c>
      <c r="K169" t="str">
        <f>'PCI Container Guidance'!A11</f>
        <v>1.5.b</v>
      </c>
      <c r="L169" t="str">
        <f>'MS TM for K8S'!A$7</f>
        <v>MS-M9003</v>
      </c>
    </row>
    <row r="170" spans="2:14">
      <c r="B170" t="s">
        <v>95</v>
      </c>
      <c r="C170" t="s">
        <v>219</v>
      </c>
      <c r="D170" t="s">
        <v>377</v>
      </c>
      <c r="E170" t="str">
        <f>'KALM-Checks'!B67</f>
        <v>RBAC-023</v>
      </c>
      <c r="G170" t="s">
        <v>377</v>
      </c>
      <c r="H170" t="str">
        <f>'NSA-CISA k8s hardening'!B$25</f>
        <v>Role-based access control</v>
      </c>
      <c r="J170" t="str">
        <f>BSI!A$15</f>
        <v>APP.4.4.A9</v>
      </c>
      <c r="K170" t="str">
        <f>'PCI Container Guidance'!A11</f>
        <v>1.5.b</v>
      </c>
      <c r="L170" t="str">
        <f>'MS TM for K8S'!A$7</f>
        <v>MS-M9003</v>
      </c>
    </row>
    <row r="171" spans="2:14">
      <c r="B171" t="s">
        <v>389</v>
      </c>
      <c r="C171" t="s">
        <v>219</v>
      </c>
      <c r="D171" t="s">
        <v>378</v>
      </c>
      <c r="E171" t="str">
        <f>'KALM-Checks'!B68</f>
        <v>RBAC-024</v>
      </c>
      <c r="G171" t="s">
        <v>378</v>
      </c>
      <c r="H171" t="str">
        <f>'NSA-CISA k8s hardening'!B$25</f>
        <v>Role-based access control</v>
      </c>
      <c r="J171" t="str">
        <f>BSI!A$15</f>
        <v>APP.4.4.A9</v>
      </c>
      <c r="K171" t="str">
        <f>'PCI Container Guidance'!A11</f>
        <v>1.5.b</v>
      </c>
      <c r="L171" t="str">
        <f>'MS TM for K8S'!A$7</f>
        <v>MS-M9003</v>
      </c>
      <c r="M171" t="str">
        <f>'Kubernetes security checklists'!C48</f>
        <v>CertificateSigning - Performs additional authorization checks to ensure the signing user has permission to sign certificate requests.</v>
      </c>
    </row>
    <row r="172" spans="2:14">
      <c r="B172" t="s">
        <v>96</v>
      </c>
      <c r="C172" t="s">
        <v>219</v>
      </c>
      <c r="D172" t="s">
        <v>379</v>
      </c>
      <c r="E172" t="str">
        <f>'KALM-Checks'!B69</f>
        <v>RBAC-025</v>
      </c>
      <c r="G172" t="s">
        <v>379</v>
      </c>
      <c r="H172" t="str">
        <f>'NSA-CISA k8s hardening'!B$25</f>
        <v>Role-based access control</v>
      </c>
      <c r="J172" t="str">
        <f>BSI!A$15</f>
        <v>APP.4.4.A9</v>
      </c>
      <c r="K172" t="str">
        <f>'PCI Container Guidance'!A11</f>
        <v>1.5.b</v>
      </c>
      <c r="L172" t="str">
        <f>'MS TM for K8S'!A$7</f>
        <v>MS-M9003</v>
      </c>
    </row>
    <row r="173" spans="2:14">
      <c r="B173" t="s">
        <v>97</v>
      </c>
      <c r="C173" t="s">
        <v>219</v>
      </c>
      <c r="D173" t="s">
        <v>380</v>
      </c>
      <c r="E173" t="str">
        <f>'KALM-Checks'!B70</f>
        <v>RBAC-026</v>
      </c>
      <c r="G173" t="s">
        <v>380</v>
      </c>
      <c r="H173" t="str">
        <f>'NSA-CISA k8s hardening'!B$24</f>
        <v>Authentication</v>
      </c>
      <c r="J173" t="str">
        <f>BSI!A$15</f>
        <v>APP.4.4.A9</v>
      </c>
      <c r="K173" t="str">
        <f>'PCI Container Guidance'!A11</f>
        <v>1.5.b</v>
      </c>
      <c r="L173" t="str">
        <f>'MS TM for K8S'!A$7</f>
        <v>MS-M9003</v>
      </c>
    </row>
    <row r="174" spans="2:14">
      <c r="B174" t="s">
        <v>1246</v>
      </c>
      <c r="C174" t="s">
        <v>1</v>
      </c>
      <c r="D174" t="s">
        <v>828</v>
      </c>
      <c r="E174" t="str">
        <f>'KALM-Checks'!B66</f>
        <v>RBAC-022</v>
      </c>
      <c r="J174" t="s">
        <v>828</v>
      </c>
    </row>
    <row r="175" spans="2:14">
      <c r="B175" t="s">
        <v>1249</v>
      </c>
      <c r="C175" t="s">
        <v>1</v>
      </c>
      <c r="D175" t="s">
        <v>819</v>
      </c>
      <c r="E175" t="str">
        <f>'KALM-Checks'!B63</f>
        <v>RBAC-017</v>
      </c>
      <c r="J175" t="s">
        <v>819</v>
      </c>
      <c r="K175" t="str">
        <f>'PCI Container Guidance'!A14</f>
        <v>2.1.a</v>
      </c>
      <c r="L175" t="str">
        <f>'MS TM for K8S'!A7</f>
        <v>MS-M9003</v>
      </c>
    </row>
    <row r="176" spans="2:14">
      <c r="B176" t="s">
        <v>1254</v>
      </c>
      <c r="E176" t="str">
        <f>'KALM-Checks'!B61</f>
        <v>RBAC-015</v>
      </c>
    </row>
    <row r="177" spans="1:14">
      <c r="B177" t="s">
        <v>1259</v>
      </c>
      <c r="E177" t="str">
        <f>'KALM-Checks'!B58</f>
        <v>RBAC-012</v>
      </c>
    </row>
    <row r="178" spans="1:14">
      <c r="B178" t="s">
        <v>1260</v>
      </c>
      <c r="E178" t="str">
        <f>'KALM-Checks'!B59</f>
        <v>RBAC-013</v>
      </c>
    </row>
    <row r="179" spans="1:14">
      <c r="B179" t="s">
        <v>1264</v>
      </c>
      <c r="E179" t="str">
        <f>'KALM-Checks'!B55</f>
        <v>RBAC-008</v>
      </c>
    </row>
    <row r="180" spans="1:14">
      <c r="B180" t="s">
        <v>1257</v>
      </c>
      <c r="E180" t="str">
        <f>'KALM-Checks'!B60</f>
        <v>RBAC-014</v>
      </c>
    </row>
    <row r="181" spans="1:14">
      <c r="B181" t="s">
        <v>1250</v>
      </c>
      <c r="C181" t="s">
        <v>1251</v>
      </c>
      <c r="E181" t="str">
        <f>'KALM-Checks'!B62</f>
        <v>RBAC-016</v>
      </c>
      <c r="H181" t="s">
        <v>32</v>
      </c>
      <c r="K181" t="str">
        <f>'PCI Container Guidance'!A14</f>
        <v>2.1.a</v>
      </c>
      <c r="L181" t="str">
        <f>'MS TM for K8S'!A7</f>
        <v>MS-M9003</v>
      </c>
      <c r="M181" t="str">
        <f>'Kubernetes security checklists'!C10</f>
        <v>The Role Based Access Control Good Practices are followed for guidance related to authentication and authorization.</v>
      </c>
      <c r="N181" t="str">
        <f>OWASP!B17</f>
        <v>Implementing Role-Based Access Control in Kubernetes</v>
      </c>
    </row>
    <row r="182" spans="1:14">
      <c r="B182" t="s">
        <v>1267</v>
      </c>
      <c r="E182" t="str">
        <f>'KALM-Checks'!B53</f>
        <v>RBAC-006</v>
      </c>
      <c r="L182" t="str">
        <f>'MS TM for K8S'!A17</f>
        <v>MS-M9010</v>
      </c>
    </row>
    <row r="183" spans="1:14">
      <c r="B183" t="s">
        <v>1155</v>
      </c>
      <c r="C183" t="s">
        <v>1152</v>
      </c>
      <c r="E183" t="str">
        <f>'KALM-Checks'!B71</f>
        <v>RBAC-027</v>
      </c>
      <c r="M183" t="str">
        <f>'Kubernetes security checklists'!C74</f>
        <v>Review bindings for the system:unauthenticated group and remove them where possible, as this gives access to anyone who can contact the API server at a network level.</v>
      </c>
    </row>
    <row r="184" spans="1:14" ht="15" thickBot="1">
      <c r="A184" s="8" t="s">
        <v>390</v>
      </c>
      <c r="B184" s="8"/>
      <c r="C184" s="8"/>
      <c r="D184" s="11"/>
      <c r="E184" s="11"/>
      <c r="F184" s="8"/>
      <c r="G184" s="11"/>
      <c r="H184" s="8"/>
      <c r="I184" s="8"/>
      <c r="J184" s="8"/>
      <c r="K184" s="8"/>
      <c r="L184" s="8"/>
      <c r="M184" s="8"/>
      <c r="N184" s="8"/>
    </row>
    <row r="185" spans="1:14">
      <c r="B185" t="s">
        <v>396</v>
      </c>
      <c r="C185" t="s">
        <v>219</v>
      </c>
      <c r="D185" t="s">
        <v>391</v>
      </c>
      <c r="G185" t="s">
        <v>391</v>
      </c>
      <c r="H185" t="str">
        <f>'NSA-CISA k8s hardening'!B9</f>
        <v>Pod security enforcement</v>
      </c>
      <c r="J185" t="str">
        <f>BSI!A$20</f>
        <v>APP.4.4.A13</v>
      </c>
      <c r="L185" t="str">
        <f>'MS TM for K8S'!A$24</f>
        <v>MS-M9017</v>
      </c>
      <c r="M185" t="str">
        <f>'Kubernetes security checklists'!C45</f>
        <v>A pod security policy is enforced by the Pod Security Admission or/and a webhook admission controller.</v>
      </c>
      <c r="N185" t="str">
        <f>OWASP!C33</f>
        <v>Utilize Pod Security Standards and the Built-in Pod Security Admission Controller to enforce container privilege levels</v>
      </c>
    </row>
    <row r="186" spans="1:14">
      <c r="B186" t="s">
        <v>397</v>
      </c>
      <c r="C186" t="s">
        <v>219</v>
      </c>
      <c r="D186" t="s">
        <v>392</v>
      </c>
      <c r="E186" t="str">
        <f>'KALM-Checks'!B33</f>
        <v>POD-032</v>
      </c>
      <c r="G186" t="s">
        <v>392</v>
      </c>
      <c r="H186" t="str">
        <f>'NSA-CISA k8s hardening'!B9</f>
        <v>Pod security enforcement</v>
      </c>
      <c r="I186" t="str">
        <f>'K8S STIG'!B$66</f>
        <v>V-242437</v>
      </c>
      <c r="J186" t="str">
        <f>BSI!A$9</f>
        <v>APP.4.4.A4</v>
      </c>
      <c r="K186" t="str">
        <f>'PCI Container Guidance'!A19</f>
        <v>3.1.a</v>
      </c>
      <c r="L186" t="str">
        <f>'MS TM for K8S'!A$20</f>
        <v>MS-M9013</v>
      </c>
      <c r="M186" t="str">
        <f>'Kubernetes security checklists'!C70</f>
        <v>Avoid running privileged containers (set privileged: false).</v>
      </c>
    </row>
    <row r="187" spans="1:14">
      <c r="B187" t="s">
        <v>398</v>
      </c>
      <c r="C187" t="s">
        <v>219</v>
      </c>
      <c r="D187" t="s">
        <v>180</v>
      </c>
      <c r="E187" t="str">
        <f>'KALM-Checks'!B14</f>
        <v>POD-008</v>
      </c>
      <c r="G187" t="s">
        <v>180</v>
      </c>
      <c r="H187" t="str">
        <f>'NSA-CISA k8s hardening'!B9</f>
        <v>Pod security enforcement</v>
      </c>
      <c r="I187" t="str">
        <f>'K8S STIG'!B$66</f>
        <v>V-242437</v>
      </c>
      <c r="J187" t="str">
        <f>BSI!A$9</f>
        <v>APP.4.4.A4</v>
      </c>
      <c r="K187" t="str">
        <f>'PCI Container Guidance'!A19</f>
        <v>3.1.a</v>
      </c>
      <c r="L187" t="str">
        <f>'MS TM for K8S'!A$20</f>
        <v>MS-M9013</v>
      </c>
      <c r="M187" t="str">
        <f>'Kubernetes security checklists'!C$23</f>
        <v>Appropriate Pod Security Standards policy is applied for all namespaces and enforced</v>
      </c>
    </row>
    <row r="188" spans="1:14">
      <c r="B188" t="s">
        <v>399</v>
      </c>
      <c r="C188" t="s">
        <v>219</v>
      </c>
      <c r="D188" t="s">
        <v>181</v>
      </c>
      <c r="E188" t="str">
        <f>'KALM-Checks'!B15</f>
        <v>POD-009</v>
      </c>
      <c r="G188" t="s">
        <v>181</v>
      </c>
      <c r="H188" t="str">
        <f>'NSA-CISA k8s hardening'!B9</f>
        <v>Pod security enforcement</v>
      </c>
      <c r="I188" t="str">
        <f>'K8S STIG'!B$66</f>
        <v>V-242437</v>
      </c>
      <c r="J188" t="str">
        <f>BSI!A$9</f>
        <v>APP.4.4.A4</v>
      </c>
      <c r="K188" t="str">
        <f>'PCI Container Guidance'!A19</f>
        <v>3.1.a</v>
      </c>
      <c r="L188" t="str">
        <f>'MS TM for K8S'!A$20</f>
        <v>MS-M9013</v>
      </c>
      <c r="M188" t="str">
        <f>'Kubernetes security checklists'!C$23</f>
        <v>Appropriate Pod Security Standards policy is applied for all namespaces and enforced</v>
      </c>
    </row>
    <row r="189" spans="1:14">
      <c r="B189" t="s">
        <v>400</v>
      </c>
      <c r="C189" t="s">
        <v>219</v>
      </c>
      <c r="D189" t="s">
        <v>182</v>
      </c>
      <c r="E189" t="str">
        <f>'KALM-Checks'!B16</f>
        <v>POD-010</v>
      </c>
      <c r="G189" t="s">
        <v>182</v>
      </c>
      <c r="H189" t="str">
        <f>'NSA-CISA k8s hardening'!B9</f>
        <v>Pod security enforcement</v>
      </c>
      <c r="I189" t="str">
        <f>'K8S STIG'!B$66</f>
        <v>V-242437</v>
      </c>
      <c r="J189" t="str">
        <f>BSI!A$9</f>
        <v>APP.4.4.A4</v>
      </c>
      <c r="K189" t="str">
        <f>'PCI Container Guidance'!A19</f>
        <v>3.1.a</v>
      </c>
      <c r="L189" t="str">
        <f>'MS TM for K8S'!A$20</f>
        <v>MS-M9013</v>
      </c>
      <c r="M189" t="str">
        <f>'Kubernetes security checklists'!C$23</f>
        <v>Appropriate Pod Security Standards policy is applied for all namespaces and enforced</v>
      </c>
      <c r="N189" t="str">
        <f>OWASP!C34</f>
        <v>Use Pod security policies to control the security-related attributes of pods, which includes container privilege levels</v>
      </c>
    </row>
    <row r="190" spans="1:14">
      <c r="B190" t="s">
        <v>401</v>
      </c>
      <c r="C190" t="s">
        <v>219</v>
      </c>
      <c r="D190" t="s">
        <v>178</v>
      </c>
      <c r="E190" t="str">
        <f>'KALM-Checks'!B32</f>
        <v>POD-031</v>
      </c>
      <c r="G190" t="s">
        <v>178</v>
      </c>
      <c r="H190" t="str">
        <f>'NSA-CISA k8s hardening'!B9</f>
        <v>Pod security enforcement</v>
      </c>
      <c r="I190" t="str">
        <f>'K8S STIG'!B$66</f>
        <v>V-242437</v>
      </c>
      <c r="J190" t="str">
        <f>BSI!A$9</f>
        <v>APP.4.4.A4</v>
      </c>
      <c r="K190" t="str">
        <f>'PCI Container Guidance'!A19</f>
        <v>3.1.a</v>
      </c>
      <c r="L190" t="str">
        <f>'MS TM for K8S'!A$20</f>
        <v>MS-M9013</v>
      </c>
      <c r="M190" t="str">
        <f>'Kubernetes security checklists'!C$23</f>
        <v>Appropriate Pod Security Standards policy is applied for all namespaces and enforced</v>
      </c>
      <c r="N190" t="str">
        <f>OWASP!C34</f>
        <v>Use Pod security policies to control the security-related attributes of pods, which includes container privilege levels</v>
      </c>
    </row>
    <row r="191" spans="1:14">
      <c r="M191" t="str">
        <f>'Kubernetes security checklists'!C68</f>
        <v>Disable privilege escalations using allowPrivilegeEscalation: false.</v>
      </c>
    </row>
    <row r="192" spans="1:14">
      <c r="B192" t="s">
        <v>402</v>
      </c>
      <c r="C192" t="s">
        <v>219</v>
      </c>
      <c r="D192" t="s">
        <v>184</v>
      </c>
      <c r="E192" t="str">
        <f>'KALM-Checks'!B23</f>
        <v>POD-017</v>
      </c>
      <c r="G192" t="s">
        <v>184</v>
      </c>
      <c r="H192" t="str">
        <f>'NSA-CISA k8s hardening'!B6</f>
        <v>"Non-root" containers and "rootless" container engines</v>
      </c>
      <c r="I192" t="str">
        <f>'K8S STIG'!B$66</f>
        <v>V-242437</v>
      </c>
      <c r="J192" t="str">
        <f>BSI!A$9</f>
        <v>APP.4.4.A4</v>
      </c>
      <c r="K192" t="str">
        <f>'PCI Container Guidance'!A50</f>
        <v>12.3.a</v>
      </c>
      <c r="L192" t="str">
        <f>'MS TM for K8S'!A$20</f>
        <v>MS-M9013</v>
      </c>
      <c r="M192" t="str">
        <f>'Kubernetes security checklists'!C$23</f>
        <v>Appropriate Pod Security Standards policy is applied for all namespaces and enforced</v>
      </c>
      <c r="N192" t="str">
        <f>OWASP!B30</f>
        <v>Apply security context to your pods and containers</v>
      </c>
    </row>
    <row r="193" spans="2:14">
      <c r="E193" t="str">
        <f>'KALM-Checks'!B24</f>
        <v>POD-018</v>
      </c>
      <c r="M193" t="str">
        <f>'Kubernetes security checklists'!C64</f>
        <v>Set runAsNonRoot: true.</v>
      </c>
    </row>
    <row r="194" spans="2:14">
      <c r="E194" t="str">
        <f>'KALM-Checks'!B25</f>
        <v>POD-019</v>
      </c>
      <c r="M194" t="str">
        <f>'Kubernetes security checklists'!C65</f>
        <v>Configure the container to execute as a less privileged user (for example, using runAsUser and runAsGroup), and configure appropriate permissions on files or directories inside the container image.</v>
      </c>
    </row>
    <row r="195" spans="2:14">
      <c r="M195" t="str">
        <f>'Kubernetes security checklists'!C$38</f>
        <v>Container images are configured to be run as unprivileged user.</v>
      </c>
    </row>
    <row r="196" spans="2:14">
      <c r="M196" t="str">
        <f>'Kubernetes security checklists'!C$42</f>
        <v>Build images to directly start with an unprivileged user</v>
      </c>
    </row>
    <row r="197" spans="2:14">
      <c r="M197" t="str">
        <f>'Kubernetes security checklists'!C$43</f>
        <v>The Security Context allows a container image to be started with a specific user and group with runAsUser and runAsGroup, even if not specified in the image manifest.</v>
      </c>
    </row>
    <row r="198" spans="2:14">
      <c r="B198" t="s">
        <v>403</v>
      </c>
      <c r="C198" t="s">
        <v>219</v>
      </c>
      <c r="D198" t="s">
        <v>187</v>
      </c>
      <c r="E198" t="str">
        <f>'KALM-Checks'!B35</f>
        <v>POD-034</v>
      </c>
      <c r="G198" t="s">
        <v>187</v>
      </c>
      <c r="H198" t="str">
        <f>'NSA-CISA k8s hardening'!B9</f>
        <v>Pod security enforcement</v>
      </c>
      <c r="J198" t="str">
        <f>BSI!A$9</f>
        <v>APP.4.4.A4</v>
      </c>
      <c r="K198" t="str">
        <f>'PCI Container Guidance'!A19</f>
        <v>3.1.a</v>
      </c>
      <c r="L198" t="str">
        <f>'MS TM for K8S'!A$18</f>
        <v>MS-M9011</v>
      </c>
      <c r="M198" t="str">
        <f>'Kubernetes security checklists'!C$23</f>
        <v>Appropriate Pod Security Standards policy is applied for all namespaces and enforced</v>
      </c>
    </row>
    <row r="199" spans="2:14">
      <c r="B199" t="s">
        <v>404</v>
      </c>
      <c r="C199" t="s">
        <v>219</v>
      </c>
      <c r="D199" t="s">
        <v>188</v>
      </c>
      <c r="E199" t="str">
        <f>'KALM-Checks'!B35</f>
        <v>POD-034</v>
      </c>
      <c r="G199" t="s">
        <v>188</v>
      </c>
      <c r="H199" t="str">
        <f>'NSA-CISA k8s hardening'!B9</f>
        <v>Pod security enforcement</v>
      </c>
      <c r="I199" t="str">
        <f>'K8S STIG'!B$66</f>
        <v>V-242437</v>
      </c>
      <c r="J199" t="str">
        <f>BSI!A$9</f>
        <v>APP.4.4.A4</v>
      </c>
      <c r="K199" t="str">
        <f>'PCI Container Guidance'!A19</f>
        <v>3.1.a</v>
      </c>
      <c r="L199" t="str">
        <f>'MS TM for K8S'!A$18</f>
        <v>MS-M9011</v>
      </c>
      <c r="M199" t="str">
        <f>'Kubernetes security checklists'!C$23</f>
        <v>Appropriate Pod Security Standards policy is applied for all namespaces and enforced</v>
      </c>
      <c r="N199" t="str">
        <f>OWASP!B30</f>
        <v>Apply security context to your pods and containers</v>
      </c>
    </row>
    <row r="200" spans="2:14">
      <c r="E200" t="str">
        <f>'KALM-Checks'!B36</f>
        <v>POD-035</v>
      </c>
      <c r="M200" t="str">
        <f>'Kubernetes security checklists'!C71</f>
        <v>Drop all capabilities from the containers and add back only specific ones that are needed for operation of the container.</v>
      </c>
    </row>
    <row r="201" spans="2:14">
      <c r="E201" t="str">
        <f>'KALM-Checks'!B37</f>
        <v>POD-036</v>
      </c>
    </row>
    <row r="202" spans="2:14">
      <c r="B202" t="s">
        <v>405</v>
      </c>
      <c r="C202" t="s">
        <v>219</v>
      </c>
      <c r="D202" t="s">
        <v>393</v>
      </c>
      <c r="E202" t="str">
        <f>'KALM-Checks'!B42</f>
        <v>POD-046</v>
      </c>
      <c r="G202" t="s">
        <v>393</v>
      </c>
      <c r="H202" t="str">
        <f>'NSA-CISA k8s hardening'!B9</f>
        <v>Pod security enforcement</v>
      </c>
      <c r="J202" t="str">
        <f>BSI!A$9</f>
        <v>APP.4.4.A4</v>
      </c>
      <c r="K202" t="str">
        <f>'PCI Container Guidance'!A19</f>
        <v>3.1.a</v>
      </c>
      <c r="L202" t="str">
        <f>'MS TM for K8S'!A$20</f>
        <v>MS-M9013</v>
      </c>
      <c r="M202" t="str">
        <f>'Kubernetes security checklists'!C$23</f>
        <v>Appropriate Pod Security Standards policy is applied for all namespaces and enforced</v>
      </c>
    </row>
    <row r="203" spans="2:14">
      <c r="B203" t="s">
        <v>406</v>
      </c>
      <c r="C203" t="s">
        <v>219</v>
      </c>
      <c r="D203" t="s">
        <v>394</v>
      </c>
      <c r="E203" t="str">
        <f>'KALM-Checks'!B38</f>
        <v>POD-042</v>
      </c>
      <c r="G203" t="s">
        <v>394</v>
      </c>
      <c r="H203" t="str">
        <f>'NSA-CISA k8s hardening'!B9</f>
        <v>Pod security enforcement</v>
      </c>
      <c r="J203" t="str">
        <f>BSI!A$9</f>
        <v>APP.4.4.A4</v>
      </c>
      <c r="K203" t="str">
        <f>'PCI Container Guidance'!A19</f>
        <v>3.1.a</v>
      </c>
      <c r="L203" t="str">
        <f>'MS TM for K8S'!A20</f>
        <v>MS-M9013</v>
      </c>
      <c r="M203" t="str">
        <f>'Kubernetes security checklists'!C$23</f>
        <v>Appropriate Pod Security Standards policy is applied for all namespaces and enforced</v>
      </c>
    </row>
    <row r="204" spans="2:14">
      <c r="E204" t="str">
        <f>'KALM-Checks'!B39</f>
        <v>POD-043</v>
      </c>
      <c r="L204" t="str">
        <f>'MS TM for K8S'!A23</f>
        <v>MS-M9016</v>
      </c>
    </row>
    <row r="205" spans="2:14">
      <c r="E205" t="str">
        <f>'KALM-Checks'!B40</f>
        <v>POD-044</v>
      </c>
    </row>
    <row r="206" spans="2:14">
      <c r="E206" t="str">
        <f>'KALM-Checks'!B41</f>
        <v>POD-045</v>
      </c>
    </row>
    <row r="207" spans="2:14">
      <c r="B207" t="s">
        <v>407</v>
      </c>
      <c r="C207" t="s">
        <v>219</v>
      </c>
      <c r="D207" t="s">
        <v>395</v>
      </c>
      <c r="E207" t="str">
        <f>'KALM-Checks'!B17</f>
        <v>POD-011</v>
      </c>
      <c r="G207" t="s">
        <v>395</v>
      </c>
      <c r="H207" t="str">
        <f>'NSA-CISA k8s hardening'!B9</f>
        <v>Pod security enforcement</v>
      </c>
      <c r="I207" t="str">
        <f>'K8S STIG'!B$43</f>
        <v>V-242414</v>
      </c>
      <c r="J207" t="str">
        <f>BSI!A$9</f>
        <v>APP.4.4.A4</v>
      </c>
      <c r="K207" t="str">
        <f>'PCI Container Guidance'!A19</f>
        <v>3.1.a</v>
      </c>
      <c r="L207" t="str">
        <f>'MS TM for K8S'!A$20</f>
        <v>MS-M9013</v>
      </c>
      <c r="M207" t="str">
        <f>'Kubernetes security checklists'!C$23</f>
        <v>Appropriate Pod Security Standards policy is applied for all namespaces and enforced</v>
      </c>
    </row>
    <row r="208" spans="2:14">
      <c r="B208" t="s">
        <v>689</v>
      </c>
      <c r="C208" t="s">
        <v>996</v>
      </c>
      <c r="D208" t="s">
        <v>687</v>
      </c>
      <c r="H208" t="str">
        <f>'NSA-CISA k8s hardening'!B9</f>
        <v>Pod security enforcement</v>
      </c>
      <c r="I208" t="str">
        <f>'K8S STIG'!B65</f>
        <v>V-254801</v>
      </c>
      <c r="L208" t="str">
        <f>'MS TM for K8S'!A$24</f>
        <v>MS-M9017</v>
      </c>
    </row>
    <row r="209" spans="2:14">
      <c r="B209" t="s">
        <v>146</v>
      </c>
      <c r="C209" t="s">
        <v>995</v>
      </c>
      <c r="D209" t="s">
        <v>146</v>
      </c>
      <c r="E209" t="str">
        <f>'KALM-Checks'!B34</f>
        <v>POD-033</v>
      </c>
      <c r="H209" t="str">
        <f>'NSA-CISA k8s hardening'!B7</f>
        <v>Immutable container file systems</v>
      </c>
      <c r="K209" t="str">
        <f>'PCI Container Guidance'!A37</f>
        <v>8.2.a</v>
      </c>
      <c r="M209" t="str">
        <f>'Kubernetes security checklists'!C69</f>
        <v>Configure the root filesystem to be read-only with readOnlyRootFilesystem: true.</v>
      </c>
      <c r="N209" t="str">
        <f>OWASP!B30</f>
        <v>Apply security context to your pods and containers</v>
      </c>
    </row>
    <row r="210" spans="2:14">
      <c r="B210" t="s">
        <v>1036</v>
      </c>
      <c r="C210" t="s">
        <v>995</v>
      </c>
      <c r="D210" t="s">
        <v>1037</v>
      </c>
      <c r="E210" t="str">
        <f>'KALM-Checks'!B76</f>
        <v>RES-001</v>
      </c>
      <c r="H210" t="str">
        <f>'NSA-CISA k8s hardening'!B15</f>
        <v>Resource policies</v>
      </c>
      <c r="K210" t="str">
        <f>'PCI Container Guidance'!A46</f>
        <v>11.1.a</v>
      </c>
      <c r="L210" t="str">
        <f>'MS TM for K8S'!A36</f>
        <v>MS-M9029</v>
      </c>
      <c r="M210" t="str">
        <f>'Kubernetes security checklists'!C$24</f>
        <v>Memory limit is set for the workloads with a limit equal or inferior to the request.</v>
      </c>
      <c r="N210" t="str">
        <f>OWASP!B40</f>
        <v>Limiting resource usage on a cluster</v>
      </c>
    </row>
    <row r="211" spans="2:14">
      <c r="E211" t="str">
        <f>'KALM-Checks'!B77</f>
        <v>RES-002</v>
      </c>
      <c r="M211" t="str">
        <f>'Kubernetes security checklists'!C$24</f>
        <v>Memory limit is set for the workloads with a limit equal or inferior to the request.</v>
      </c>
    </row>
    <row r="212" spans="2:14">
      <c r="E212" t="str">
        <f>'KALM-Checks'!B78</f>
        <v>RES-003</v>
      </c>
    </row>
    <row r="213" spans="2:14">
      <c r="E213" t="str">
        <f>'KALM-Checks'!B79</f>
        <v>RES-004</v>
      </c>
      <c r="M213" t="str">
        <f>'Kubernetes security checklists'!C25</f>
        <v>CPU limit might be set on sensitive workloads.</v>
      </c>
    </row>
    <row r="214" spans="2:14">
      <c r="E214" t="str">
        <f>'KALM-Checks'!B80</f>
        <v>RES-005</v>
      </c>
    </row>
    <row r="215" spans="2:14">
      <c r="E215" t="str">
        <f>'KALM-Checks'!B81</f>
        <v>RES-006</v>
      </c>
    </row>
    <row r="216" spans="2:14">
      <c r="E216" t="str">
        <f>'KALM-Checks'!B82</f>
        <v>RES-007</v>
      </c>
    </row>
    <row r="217" spans="2:14">
      <c r="E217" t="str">
        <f>'KALM-Checks'!B83</f>
        <v>RES-008</v>
      </c>
    </row>
    <row r="218" spans="2:14">
      <c r="E218" t="str">
        <f>'KALM-Checks'!B84</f>
        <v>RES-009</v>
      </c>
    </row>
    <row r="219" spans="2:14">
      <c r="B219" t="s">
        <v>1272</v>
      </c>
      <c r="E219" t="str">
        <f>'KALM-Checks'!B45</f>
        <v>PSA-001</v>
      </c>
    </row>
    <row r="220" spans="2:14">
      <c r="E220" t="str">
        <f>'KALM-Checks'!B43</f>
        <v>PS-001</v>
      </c>
    </row>
    <row r="221" spans="2:14">
      <c r="B221" t="s">
        <v>1271</v>
      </c>
      <c r="E221" t="str">
        <f>'KALM-Checks'!B46</f>
        <v>PSA-002</v>
      </c>
    </row>
    <row r="222" spans="2:14">
      <c r="E222" t="str">
        <f>'KALM-Checks'!B44</f>
        <v>PS-002</v>
      </c>
    </row>
    <row r="223" spans="2:14">
      <c r="B223" t="s">
        <v>1270</v>
      </c>
      <c r="E223" t="str">
        <f>'KALM-Checks'!B47</f>
        <v>PSA-003</v>
      </c>
    </row>
    <row r="224" spans="2:14">
      <c r="B224" t="s">
        <v>1147</v>
      </c>
      <c r="E224" t="str">
        <f>'KALM-Checks'!B20</f>
        <v>POD-014</v>
      </c>
      <c r="H224" t="str">
        <f>'NSA-CISA k8s hardening'!B11</f>
        <v>Hardening container environments</v>
      </c>
      <c r="I224" t="str">
        <f>'K8S STIG'!B66</f>
        <v>V-242437</v>
      </c>
      <c r="J224" t="str">
        <f>BSI!A9</f>
        <v>APP.4.4.A4</v>
      </c>
      <c r="K224" t="str">
        <f>'PCI Container Guidance'!A39</f>
        <v>9.1.a</v>
      </c>
      <c r="L224" t="str">
        <f>'MS TM for K8S'!A18</f>
        <v>MS-M9011</v>
      </c>
      <c r="M224" t="str">
        <f>'Kubernetes security checklists'!C79</f>
        <v>Restrict a Container's Access to Resources with AppArmor</v>
      </c>
      <c r="N224" t="str">
        <f>OWASP!B51</f>
        <v>Prevent containers from loading unwanted kernel modules</v>
      </c>
    </row>
    <row r="225" spans="1:14">
      <c r="E225" t="str">
        <f>'KALM-Checks'!B27</f>
        <v>POD-022</v>
      </c>
    </row>
    <row r="226" spans="1:14">
      <c r="B226" t="s">
        <v>1148</v>
      </c>
      <c r="E226" t="str">
        <f>'KALM-Checks'!B27</f>
        <v>POD-022</v>
      </c>
      <c r="H226" t="str">
        <f>'NSA-CISA k8s hardening'!B11</f>
        <v>Hardening container environments</v>
      </c>
      <c r="I226" t="str">
        <f>'K8S STIG'!B66</f>
        <v>V-242437</v>
      </c>
      <c r="J226" t="str">
        <f>BSI!A9</f>
        <v>APP.4.4.A4</v>
      </c>
      <c r="K226" t="str">
        <f>'PCI Container Guidance'!A39</f>
        <v>9.1.a</v>
      </c>
      <c r="L226" t="str">
        <f>'MS TM for K8S'!A18</f>
        <v>MS-M9011</v>
      </c>
      <c r="M226" t="str">
        <f>'Kubernetes security checklists'!C80</f>
        <v>Assign SELinux Labels to a Container</v>
      </c>
      <c r="N226" t="str">
        <f>OWASP!C34</f>
        <v>Use Pod security policies to control the security-related attributes of pods, which includes container privilege levels</v>
      </c>
    </row>
    <row r="227" spans="1:14">
      <c r="N227" t="str">
        <f>OWASP!B51</f>
        <v>Prevent containers from loading unwanted kernel modules</v>
      </c>
    </row>
    <row r="228" spans="1:14" ht="15" thickBot="1">
      <c r="A228" s="8" t="s">
        <v>408</v>
      </c>
      <c r="B228" s="8"/>
      <c r="C228" s="8"/>
      <c r="D228" s="11"/>
      <c r="E228" s="11"/>
      <c r="F228" s="8"/>
      <c r="G228" s="11"/>
      <c r="H228" s="8"/>
      <c r="I228" s="8"/>
      <c r="J228" s="8"/>
      <c r="K228" s="8"/>
      <c r="L228" s="8"/>
      <c r="M228" s="8"/>
      <c r="N228" s="8"/>
    </row>
    <row r="229" spans="1:14">
      <c r="B229" t="s">
        <v>411</v>
      </c>
      <c r="C229" t="s">
        <v>219</v>
      </c>
      <c r="D229" t="s">
        <v>409</v>
      </c>
      <c r="G229" t="s">
        <v>409</v>
      </c>
      <c r="H229" t="str">
        <f>'NSA-CISA k8s hardening'!B14</f>
        <v>Network policies</v>
      </c>
      <c r="J229" t="str">
        <f>BSI!A$25</f>
        <v>APP.4.4.A18</v>
      </c>
      <c r="K229" t="str">
        <f>'PCI Container Guidance'!A23</f>
        <v>4.1.a</v>
      </c>
      <c r="L229" t="str">
        <f>'MS TM for K8S'!A$21</f>
        <v>MS-M9014</v>
      </c>
      <c r="M229" t="str">
        <f>'Kubernetes security checklists'!C11</f>
        <v>CNI plugins in use support network policies.</v>
      </c>
    </row>
    <row r="230" spans="1:14">
      <c r="B230" t="s">
        <v>1033</v>
      </c>
      <c r="L230" t="str">
        <f>'MS TM for K8S'!A35</f>
        <v>MS-M9028</v>
      </c>
    </row>
    <row r="231" spans="1:14">
      <c r="B231" t="s">
        <v>412</v>
      </c>
      <c r="C231" t="s">
        <v>219</v>
      </c>
      <c r="D231" t="s">
        <v>410</v>
      </c>
      <c r="E231" t="str">
        <f>'KALM-Checks'!B5</f>
        <v>NP-001</v>
      </c>
      <c r="G231" t="s">
        <v>410</v>
      </c>
      <c r="H231" t="str">
        <f>'NSA-CISA k8s hardening'!B14</f>
        <v>Network policies</v>
      </c>
      <c r="J231" t="str">
        <f>BSI!A$25</f>
        <v>APP.4.4.A18</v>
      </c>
      <c r="K231" t="str">
        <f>'PCI Container Guidance'!A23</f>
        <v>4.1.a</v>
      </c>
      <c r="L231" t="str">
        <f>'MS TM for K8S'!A$21</f>
        <v>MS-M9014</v>
      </c>
      <c r="M231" t="str">
        <f>'Kubernetes security checklists'!C13</f>
        <v>Default network policies within each namespace, selecting all pods, denying everything, are in place.</v>
      </c>
      <c r="N231" t="str">
        <f>OWASP!B41</f>
        <v>Use Kubernetes network policies to control traffic between pods and clusters</v>
      </c>
    </row>
    <row r="232" spans="1:14">
      <c r="B232" t="s">
        <v>1144</v>
      </c>
      <c r="E232" t="str">
        <f>'KALM-Checks'!B8</f>
        <v>NP-004</v>
      </c>
      <c r="G232" t="str">
        <f>'CIS Kubernetes 1.12'!C145</f>
        <v>5.3.1</v>
      </c>
      <c r="H232" t="str">
        <f>'NSA-CISA k8s hardening'!B14</f>
        <v>Network policies</v>
      </c>
      <c r="J232" t="str">
        <f>BSI!A13</f>
        <v>APP.4.4.A7</v>
      </c>
      <c r="K232" t="str">
        <f>'PCI Container Guidance'!A23</f>
        <v>4.1.a</v>
      </c>
      <c r="L232" t="str">
        <f>'MS TM for K8S'!A21</f>
        <v>MS-M9014</v>
      </c>
      <c r="M232" t="str">
        <f>'Kubernetes security checklists'!C77</f>
        <v>Configure NetworkPolicies to only allow expected ingress and egress traffic from the pods.</v>
      </c>
    </row>
    <row r="233" spans="1:14">
      <c r="E233" t="str">
        <f>'KALM-Checks'!B6</f>
        <v>NP-002</v>
      </c>
      <c r="M233" t="str">
        <f>'Kubernetes security checklists'!C12</f>
        <v>Ingress and egress network policies are applied to all workloads in the cluster.</v>
      </c>
    </row>
    <row r="234" spans="1:14">
      <c r="B234" t="s">
        <v>1025</v>
      </c>
      <c r="E234" t="str">
        <f>'KALM-Checks'!B7</f>
        <v>NP-003</v>
      </c>
      <c r="H234" t="str">
        <f>'NSA-CISA k8s hardening'!B22</f>
        <v>Protecting sensitive cloud infrastructure</v>
      </c>
      <c r="L234" t="str">
        <f>'MS TM for K8S'!A25</f>
        <v>MS-M9018</v>
      </c>
      <c r="M234" t="str">
        <f>'Kubernetes security checklists'!C15</f>
        <v>Access from the workloads to the cloud metadata API is filtered.</v>
      </c>
    </row>
    <row r="235" spans="1:14">
      <c r="B235" t="s">
        <v>1170</v>
      </c>
      <c r="H235" t="str">
        <f>'NSA-CISA k8s hardening'!C33</f>
        <v>Service meshes</v>
      </c>
      <c r="M235" t="str">
        <f>'Kubernetes security checklists'!C14</f>
        <v>If appropriate, a service mesh is used to encrypt all communications inside of the cluster.</v>
      </c>
      <c r="N235" t="str">
        <f>OWASP!B35</f>
        <v>Providing extra security with a service mesh</v>
      </c>
    </row>
    <row r="236" spans="1:14" ht="15" thickBot="1">
      <c r="A236" s="8" t="s">
        <v>98</v>
      </c>
      <c r="B236" s="8"/>
      <c r="C236" s="8"/>
      <c r="D236" s="11"/>
      <c r="E236" s="11"/>
      <c r="F236" s="8"/>
      <c r="G236" s="11"/>
      <c r="H236" s="8"/>
      <c r="I236" s="8"/>
      <c r="J236" s="8"/>
      <c r="K236" s="8"/>
      <c r="L236" s="8"/>
      <c r="M236" s="8"/>
      <c r="N236" s="8"/>
    </row>
    <row r="237" spans="1:14">
      <c r="B237" t="s">
        <v>413</v>
      </c>
      <c r="C237" t="s">
        <v>219</v>
      </c>
      <c r="D237" t="s">
        <v>414</v>
      </c>
      <c r="E237" t="str">
        <f>'KALM-Checks'!B30</f>
        <v>POD-025</v>
      </c>
      <c r="G237" t="s">
        <v>414</v>
      </c>
      <c r="I237" t="str">
        <f>'K8S STIG'!B44</f>
        <v>V-242415</v>
      </c>
      <c r="K237" t="str">
        <f>'PCI Container Guidance'!A9</f>
        <v>1.4.a</v>
      </c>
      <c r="L237" t="str">
        <f>'MS TM for K8S'!A33</f>
        <v>MS-M9026</v>
      </c>
      <c r="M237" t="str">
        <f>'Kubernetes security checklists'!C36</f>
        <v>Pods needing secrets should have these automatically mounted through volumes, preferably stored in memory like with the emptyDir.medium option.</v>
      </c>
      <c r="N237" t="str">
        <f>OWASP!C43</f>
        <v>Keep secrets a secret</v>
      </c>
    </row>
    <row r="239" spans="1:14">
      <c r="B239" t="s">
        <v>416</v>
      </c>
      <c r="C239" t="s">
        <v>219</v>
      </c>
      <c r="D239" t="s">
        <v>415</v>
      </c>
      <c r="G239" t="s">
        <v>415</v>
      </c>
      <c r="K239" t="str">
        <f>'PCI Container Guidance'!A32</f>
        <v>6.2.a</v>
      </c>
      <c r="L239" t="str">
        <f>'MS TM for K8S'!A29</f>
        <v>MS-M9022</v>
      </c>
      <c r="M239" t="str">
        <f>'Kubernetes security checklists'!C33</f>
        <v>If appropriate, a mechanism to inject secrets stored in third-party storage is deployed and available.</v>
      </c>
      <c r="N239" t="str">
        <f>OWASP!C45</f>
        <v>Alternatives to Kubernetes Secret resources</v>
      </c>
    </row>
    <row r="240" spans="1:14">
      <c r="B240" t="s">
        <v>1090</v>
      </c>
      <c r="C240" t="s">
        <v>1152</v>
      </c>
      <c r="E240" t="str">
        <f>'KALM-Checks'!B4</f>
        <v>CM-001</v>
      </c>
      <c r="K240" t="str">
        <f>'PCI Container Guidance'!A31</f>
        <v>6.1.a</v>
      </c>
      <c r="L240" t="str">
        <f>'MS TM for K8S'!A33</f>
        <v>MS-M9026</v>
      </c>
      <c r="M240" t="str">
        <f>'Kubernetes security checklists'!C31</f>
        <v>ConfigMaps are not used to hold confidential data.</v>
      </c>
    </row>
    <row r="241" spans="1:14" ht="15" thickBot="1">
      <c r="A241" s="8" t="s">
        <v>418</v>
      </c>
      <c r="B241" s="8"/>
      <c r="C241" s="8"/>
      <c r="D241" s="11"/>
      <c r="E241" s="11"/>
      <c r="F241" s="8"/>
      <c r="G241" s="11"/>
      <c r="H241" s="8"/>
      <c r="I241" s="8"/>
      <c r="J241" s="8"/>
      <c r="K241" s="8"/>
      <c r="L241" s="8"/>
      <c r="M241" s="8"/>
      <c r="N241" s="8"/>
    </row>
    <row r="242" spans="1:14">
      <c r="B242" t="s">
        <v>420</v>
      </c>
      <c r="C242" t="s">
        <v>219</v>
      </c>
      <c r="D242" t="s">
        <v>419</v>
      </c>
      <c r="G242" t="s">
        <v>419</v>
      </c>
      <c r="K242" t="str">
        <f>'PCI Container Guidance'!A21</f>
        <v>3.3.a</v>
      </c>
      <c r="L242" t="str">
        <f>'MS TM for K8S'!A9</f>
        <v>MS-M9005</v>
      </c>
      <c r="M242" t="str">
        <f>'Kubernetes security checklists'!C58</f>
        <v>ImagePolicyWebhook - Allows enforcing additional controls for images through webhooks.</v>
      </c>
      <c r="N242" t="str">
        <f>OWASP!B28</f>
        <v>Use the ImagePolicyWebhook to govern image provenance</v>
      </c>
    </row>
    <row r="243" spans="1:14">
      <c r="B243" t="s">
        <v>1153</v>
      </c>
      <c r="C243" t="s">
        <v>1152</v>
      </c>
      <c r="E243" t="str">
        <f>'KALM-Checks'!B86</f>
        <v>SC-002</v>
      </c>
      <c r="K243" t="str">
        <f>'PCI Container Guidance'!A20</f>
        <v>3.2.a</v>
      </c>
      <c r="M243" t="str">
        <f>'Kubernetes security checklists'!C39</f>
        <v>References to container images are made by sha256 digests (rather than tags) or the provenance of the image is validated by verifying the image's digital signature at deploy time via admission control.</v>
      </c>
    </row>
    <row r="244" spans="1:14" ht="15" thickBot="1">
      <c r="A244" s="8" t="s">
        <v>417</v>
      </c>
      <c r="B244" s="8"/>
      <c r="C244" s="8"/>
      <c r="D244" s="11"/>
      <c r="E244" s="11"/>
      <c r="F244" s="8"/>
      <c r="G244" s="11"/>
      <c r="H244" s="8"/>
      <c r="I244" s="8"/>
      <c r="J244" s="8"/>
      <c r="K244" s="8"/>
      <c r="L244" s="8"/>
      <c r="M244" s="8"/>
      <c r="N244" s="8"/>
    </row>
    <row r="245" spans="1:14">
      <c r="B245" t="s">
        <v>423</v>
      </c>
      <c r="C245" t="s">
        <v>219</v>
      </c>
      <c r="D245" t="s">
        <v>421</v>
      </c>
      <c r="E245" t="str">
        <f>'KALM-Checks'!B11</f>
        <v>NS-002</v>
      </c>
      <c r="G245" t="s">
        <v>421</v>
      </c>
      <c r="H245" t="str">
        <f>'NSA-CISA k8s hardening'!B13</f>
        <v>Namespaces</v>
      </c>
      <c r="I245" t="str">
        <f>'K8S STIG'!B46</f>
        <v>V-242417</v>
      </c>
      <c r="K245" t="str">
        <f>'PCI Container Guidance'!A66</f>
        <v>16.1.a</v>
      </c>
      <c r="N245" t="str">
        <f>OWASP!B27</f>
        <v>Code that uses namespaces to isolate Kubernetes resources</v>
      </c>
    </row>
    <row r="247" spans="1:14">
      <c r="B247" t="s">
        <v>424</v>
      </c>
      <c r="C247" t="s">
        <v>219</v>
      </c>
      <c r="D247" t="s">
        <v>422</v>
      </c>
      <c r="E247" t="str">
        <f>'KALM-Checks'!B21</f>
        <v>POD-015</v>
      </c>
      <c r="G247" t="s">
        <v>422</v>
      </c>
      <c r="H247" t="str">
        <f>'NSA-CISA k8s hardening'!B11</f>
        <v>Hardening container environments</v>
      </c>
      <c r="I247" t="str">
        <f>'K8S STIG'!B66</f>
        <v>V-242437</v>
      </c>
      <c r="J247" t="str">
        <f>BSI!A9</f>
        <v>APP.4.4.A4</v>
      </c>
      <c r="K247" t="str">
        <f>'PCI Container Guidance'!A39</f>
        <v>9.1.a</v>
      </c>
      <c r="L247" t="str">
        <f>'MS TM for K8S'!A$18</f>
        <v>MS-M9011</v>
      </c>
      <c r="M247" t="str">
        <f>'Kubernetes security checklists'!C$23</f>
        <v>Appropriate Pod Security Standards policy is applied for all namespaces and enforced</v>
      </c>
    </row>
    <row r="248" spans="1:14">
      <c r="E248" t="str">
        <f>'KALM-Checks'!B28</f>
        <v>POD-023</v>
      </c>
      <c r="M248" t="str">
        <f>'Kubernetes security checklists'!C$26</f>
        <v>For nodes that support it, Seccomp is enabled with appropriate syscalls profile for programs.</v>
      </c>
    </row>
    <row r="249" spans="1:14">
      <c r="M249" t="str">
        <f>'Kubernetes security checklists'!C78</f>
        <v>Set the Seccomp Profile for a Container</v>
      </c>
    </row>
    <row r="250" spans="1:14">
      <c r="B250" t="s">
        <v>126</v>
      </c>
      <c r="C250" t="s">
        <v>219</v>
      </c>
      <c r="D250" t="s">
        <v>425</v>
      </c>
      <c r="E250" t="str">
        <f>'KALM-Checks'!B22</f>
        <v>POD-016</v>
      </c>
      <c r="G250" t="s">
        <v>425</v>
      </c>
      <c r="L250" t="str">
        <f>'MS TM for K8S'!A$24</f>
        <v>MS-M9017</v>
      </c>
      <c r="N250" t="str">
        <f>OWASP!B30</f>
        <v>Apply security context to your pods and containers</v>
      </c>
    </row>
    <row r="251" spans="1:14">
      <c r="E251" t="str">
        <f>'KALM-Checks'!B31</f>
        <v>POD-030</v>
      </c>
    </row>
    <row r="252" spans="1:14">
      <c r="B252" t="s">
        <v>427</v>
      </c>
      <c r="C252" t="s">
        <v>219</v>
      </c>
      <c r="D252" t="s">
        <v>426</v>
      </c>
      <c r="E252" t="str">
        <f>'KALM-Checks'!B10</f>
        <v>NS-001</v>
      </c>
      <c r="G252" t="s">
        <v>426</v>
      </c>
      <c r="H252" t="str">
        <f>'NSA-CISA k8s hardening'!B13</f>
        <v>Namespaces</v>
      </c>
      <c r="I252" t="str">
        <f>'K8S STIG'!B13</f>
        <v>V-242383</v>
      </c>
      <c r="K252" t="str">
        <f>'PCI Container Guidance'!A66</f>
        <v>16.1.a</v>
      </c>
      <c r="N252" t="str">
        <f>OWASP!B27</f>
        <v>Code that uses namespaces to isolate Kubernetes resources</v>
      </c>
    </row>
    <row r="253" spans="1:14">
      <c r="B253" t="s">
        <v>529</v>
      </c>
      <c r="C253" t="s">
        <v>996</v>
      </c>
      <c r="D253" t="s">
        <v>527</v>
      </c>
      <c r="I253" t="str">
        <f>'K8S STIG'!B25</f>
        <v>V-242395</v>
      </c>
      <c r="N253" t="str">
        <f>OWASP!B9</f>
        <v>Securing the Kubernetes Dashboard</v>
      </c>
    </row>
    <row r="254" spans="1:14">
      <c r="B254" t="s">
        <v>717</v>
      </c>
      <c r="C254" t="s">
        <v>996</v>
      </c>
      <c r="D254" t="s">
        <v>715</v>
      </c>
      <c r="H254" t="str">
        <f>'NSA-CISA k8s hardening'!A$38</f>
        <v>Upgrading and application security practices</v>
      </c>
      <c r="I254" t="str">
        <f>'K8S STIG'!B72</f>
        <v>V-242442</v>
      </c>
      <c r="K254" t="str">
        <f>'PCI Container Guidance'!A44</f>
        <v>10.3.a</v>
      </c>
    </row>
    <row r="255" spans="1:14">
      <c r="B255" t="s">
        <v>1171</v>
      </c>
      <c r="J255" t="str">
        <f>BSI!A22</f>
        <v>APP.4.4.A15</v>
      </c>
      <c r="K255" t="str">
        <f>'PCI Container Guidance'!A66</f>
        <v>16.1.a</v>
      </c>
    </row>
    <row r="256" spans="1:14">
      <c r="B256" t="s">
        <v>1172</v>
      </c>
      <c r="E256" t="str">
        <f>'KALM-Checks'!B75</f>
        <v>REL-004</v>
      </c>
      <c r="J256" t="str">
        <f>BSI!A21</f>
        <v>APP.4.4.A14</v>
      </c>
      <c r="K256" t="str">
        <f>'PCI Container Guidance'!A67</f>
        <v>16.2.a</v>
      </c>
      <c r="M256" t="str">
        <f>'Kubernetes security checklists'!C30</f>
        <v>Sensitive applications are running isolated on nodes or with specific sandboxed runtimes.</v>
      </c>
    </row>
    <row r="257" spans="1:14">
      <c r="B257" t="s">
        <v>1173</v>
      </c>
      <c r="J257" t="str">
        <f>BSI!A21</f>
        <v>APP.4.4.A14</v>
      </c>
      <c r="K257" t="str">
        <f>'PCI Container Guidance'!A68</f>
        <v>16.3.a</v>
      </c>
      <c r="M257" t="str">
        <f>'Kubernetes security checklists'!C29</f>
        <v>Pod placement is done in accordance with the tiers of sensitivity of the application.</v>
      </c>
    </row>
    <row r="258" spans="1:14" ht="15" thickBot="1">
      <c r="A258" s="8" t="s">
        <v>1245</v>
      </c>
      <c r="B258" s="8"/>
      <c r="C258" s="8"/>
      <c r="D258" s="8"/>
      <c r="E258" s="8"/>
      <c r="F258" s="8"/>
      <c r="G258" s="8"/>
      <c r="H258" s="8"/>
      <c r="I258" s="8"/>
      <c r="J258" s="8"/>
      <c r="K258" s="8"/>
      <c r="L258" s="8"/>
      <c r="M258" s="8"/>
      <c r="N258" s="8"/>
    </row>
    <row r="259" spans="1:14">
      <c r="B259" t="s">
        <v>1242</v>
      </c>
      <c r="E259" t="str">
        <f>'KALM-Checks'!B72</f>
        <v>REL-001</v>
      </c>
    </row>
    <row r="260" spans="1:14">
      <c r="B260" t="s">
        <v>1243</v>
      </c>
      <c r="E260" t="str">
        <f>'KALM-Checks'!B73</f>
        <v>REL-002</v>
      </c>
    </row>
    <row r="261" spans="1:14">
      <c r="B261" t="s">
        <v>1244</v>
      </c>
      <c r="E261" t="str">
        <f>'KALM-Checks'!B74</f>
        <v>REL-003</v>
      </c>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575" id="{3009BB3C-702D-4FF5-A384-B132191E4AD4}">
            <xm:f>MATCH(D3, 'CIS Kubernetes 1.12'!#REF!, 0)</xm:f>
            <x14:dxf>
              <fill>
                <patternFill>
                  <bgColor rgb="FF92D050"/>
                </patternFill>
              </fill>
            </x14:dxf>
          </x14:cfRule>
          <xm:sqref>D3:E5 D62:E78 I62:I78 D87:E88 I87:I88 D92:E93 I92:I93 D104:E104 D116:E120 D148:E151 I150:I151 D210 E226:E227 D253:E254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D172-B775-48CE-9208-35F67BA1EF4C}">
  <dimension ref="A1:E87"/>
  <sheetViews>
    <sheetView tabSelected="1" topLeftCell="A18" workbookViewId="0">
      <selection activeCell="A44" sqref="A44"/>
    </sheetView>
  </sheetViews>
  <sheetFormatPr defaultRowHeight="13.2"/>
  <cols>
    <col min="2" max="2" width="12.33203125" bestFit="1" customWidth="1"/>
    <col min="3" max="3" width="20.77734375" customWidth="1"/>
    <col min="4" max="4" width="65.77734375" bestFit="1" customWidth="1"/>
  </cols>
  <sheetData>
    <row r="1" spans="1:5">
      <c r="B1" s="29" t="s">
        <v>1038</v>
      </c>
      <c r="C1" s="29"/>
      <c r="D1" s="29"/>
      <c r="E1" s="29"/>
    </row>
    <row r="3" spans="1:5" ht="18" thickBot="1">
      <c r="B3" s="4" t="s">
        <v>223</v>
      </c>
      <c r="C3" s="4" t="s">
        <v>1043</v>
      </c>
      <c r="D3" s="4" t="s">
        <v>9</v>
      </c>
    </row>
    <row r="4" spans="1:5" ht="13.8" thickTop="1">
      <c r="A4">
        <f>MATCH(B4, 'Overall Matcher'!$E$3:$E$1023, 0)</f>
        <v>238</v>
      </c>
      <c r="B4" t="s">
        <v>163</v>
      </c>
      <c r="C4" t="s">
        <v>162</v>
      </c>
      <c r="D4" t="s">
        <v>1314</v>
      </c>
    </row>
    <row r="5" spans="1:5">
      <c r="A5">
        <f>MATCH(B5, 'Overall Matcher'!$E$3:$E$1023, 0)</f>
        <v>229</v>
      </c>
      <c r="B5" t="s">
        <v>193</v>
      </c>
      <c r="C5" t="s">
        <v>1047</v>
      </c>
      <c r="D5" t="s">
        <v>1313</v>
      </c>
    </row>
    <row r="6" spans="1:5">
      <c r="A6">
        <f>MATCH(B6, 'Overall Matcher'!$E$3:$E$1023, 0)</f>
        <v>231</v>
      </c>
      <c r="B6" t="s">
        <v>196</v>
      </c>
      <c r="C6" t="s">
        <v>1047</v>
      </c>
      <c r="D6" t="s">
        <v>1312</v>
      </c>
    </row>
    <row r="7" spans="1:5">
      <c r="A7">
        <f>MATCH(B7, 'Overall Matcher'!$E$3:$E$1023, 0)</f>
        <v>232</v>
      </c>
      <c r="B7" t="s">
        <v>197</v>
      </c>
      <c r="C7" t="s">
        <v>1047</v>
      </c>
      <c r="D7" t="s">
        <v>1311</v>
      </c>
    </row>
    <row r="8" spans="1:5">
      <c r="A8">
        <f>MATCH(B8, 'Overall Matcher'!$E$3:$E$1023, 0)</f>
        <v>230</v>
      </c>
      <c r="B8" t="s">
        <v>199</v>
      </c>
      <c r="C8" t="s">
        <v>1047</v>
      </c>
      <c r="D8" t="s">
        <v>1310</v>
      </c>
    </row>
    <row r="9" spans="1:5">
      <c r="A9" t="e">
        <f>MATCH(B9, 'Overall Matcher'!$E$3:$E$1023, 0)</f>
        <v>#N/A</v>
      </c>
      <c r="B9" t="s">
        <v>200</v>
      </c>
      <c r="C9" t="s">
        <v>1047</v>
      </c>
      <c r="D9" t="s">
        <v>1309</v>
      </c>
    </row>
    <row r="10" spans="1:5">
      <c r="A10">
        <f>MATCH(B10, 'Overall Matcher'!$E$3:$E$1023, 0)</f>
        <v>250</v>
      </c>
      <c r="B10" t="s">
        <v>165</v>
      </c>
      <c r="C10" t="s">
        <v>164</v>
      </c>
      <c r="D10" t="s">
        <v>1308</v>
      </c>
    </row>
    <row r="11" spans="1:5">
      <c r="A11">
        <f>MATCH(B11, 'Overall Matcher'!$E$3:$E$1023, 0)</f>
        <v>243</v>
      </c>
      <c r="B11" t="s">
        <v>166</v>
      </c>
      <c r="C11" t="s">
        <v>164</v>
      </c>
      <c r="D11" t="s">
        <v>1307</v>
      </c>
    </row>
    <row r="12" spans="1:5">
      <c r="A12">
        <f>MATCH(B12, 'Overall Matcher'!$E$3:$E$1023, 0)</f>
        <v>159</v>
      </c>
      <c r="B12" t="s">
        <v>111</v>
      </c>
      <c r="C12" t="s">
        <v>390</v>
      </c>
      <c r="D12" t="s">
        <v>1306</v>
      </c>
    </row>
    <row r="13" spans="1:5">
      <c r="A13">
        <f>MATCH(B13, 'Overall Matcher'!$E$3:$E$1023, 0)</f>
        <v>161</v>
      </c>
      <c r="B13" t="s">
        <v>113</v>
      </c>
      <c r="C13" t="s">
        <v>390</v>
      </c>
      <c r="D13" t="s">
        <v>1305</v>
      </c>
    </row>
    <row r="14" spans="1:5">
      <c r="A14">
        <f>MATCH(B14, 'Overall Matcher'!$E$3:$E$1023, 0)</f>
        <v>185</v>
      </c>
      <c r="B14" t="s">
        <v>116</v>
      </c>
      <c r="C14" t="s">
        <v>390</v>
      </c>
      <c r="D14" t="s">
        <v>1304</v>
      </c>
    </row>
    <row r="15" spans="1:5">
      <c r="A15">
        <f>MATCH(B15, 'Overall Matcher'!$E$3:$E$1023, 0)</f>
        <v>186</v>
      </c>
      <c r="B15" t="s">
        <v>117</v>
      </c>
      <c r="C15" t="s">
        <v>390</v>
      </c>
      <c r="D15" t="s">
        <v>1303</v>
      </c>
    </row>
    <row r="16" spans="1:5">
      <c r="A16">
        <f>MATCH(B16, 'Overall Matcher'!$E$3:$E$1023, 0)</f>
        <v>187</v>
      </c>
      <c r="B16" t="s">
        <v>118</v>
      </c>
      <c r="C16" t="s">
        <v>390</v>
      </c>
      <c r="D16" t="s">
        <v>1302</v>
      </c>
    </row>
    <row r="17" spans="1:5">
      <c r="A17">
        <f>MATCH(B17, 'Overall Matcher'!$E$3:$E$1023, 0)</f>
        <v>205</v>
      </c>
      <c r="B17" t="s">
        <v>139</v>
      </c>
      <c r="C17" t="s">
        <v>390</v>
      </c>
      <c r="D17" t="s">
        <v>1301</v>
      </c>
    </row>
    <row r="18" spans="1:5">
      <c r="A18" t="e">
        <f>MATCH(B18, 'Overall Matcher'!$E$3:$E$1023, 0)</f>
        <v>#N/A</v>
      </c>
      <c r="B18" t="s">
        <v>119</v>
      </c>
      <c r="C18" s="27" t="s">
        <v>390</v>
      </c>
      <c r="D18" s="27" t="s">
        <v>1299</v>
      </c>
      <c r="E18" t="s">
        <v>1300</v>
      </c>
    </row>
    <row r="19" spans="1:5">
      <c r="A19" t="e">
        <f>MATCH(B19, 'Overall Matcher'!$E$3:$E$1023, 0)</f>
        <v>#N/A</v>
      </c>
      <c r="B19" t="s">
        <v>120</v>
      </c>
      <c r="C19" s="27" t="s">
        <v>390</v>
      </c>
      <c r="D19" s="27" t="s">
        <v>1298</v>
      </c>
    </row>
    <row r="20" spans="1:5">
      <c r="A20">
        <f>MATCH(B20, 'Overall Matcher'!$E$3:$E$1023, 0)</f>
        <v>222</v>
      </c>
      <c r="B20" t="s">
        <v>121</v>
      </c>
      <c r="C20" t="s">
        <v>390</v>
      </c>
      <c r="D20" t="s">
        <v>1297</v>
      </c>
    </row>
    <row r="21" spans="1:5">
      <c r="A21">
        <f>MATCH(B21, 'Overall Matcher'!$E$3:$E$1023, 0)</f>
        <v>245</v>
      </c>
      <c r="B21" t="s">
        <v>123</v>
      </c>
      <c r="C21" t="s">
        <v>390</v>
      </c>
      <c r="D21" t="s">
        <v>1296</v>
      </c>
    </row>
    <row r="22" spans="1:5">
      <c r="A22">
        <f>MATCH(B22, 'Overall Matcher'!$E$3:$E$1023, 0)</f>
        <v>248</v>
      </c>
      <c r="B22" t="s">
        <v>124</v>
      </c>
      <c r="C22" t="s">
        <v>390</v>
      </c>
      <c r="D22" t="s">
        <v>1295</v>
      </c>
    </row>
    <row r="23" spans="1:5">
      <c r="A23">
        <f>MATCH(B23, 'Overall Matcher'!$E$3:$E$1023, 0)</f>
        <v>190</v>
      </c>
      <c r="B23" t="s">
        <v>125</v>
      </c>
      <c r="C23" t="s">
        <v>390</v>
      </c>
      <c r="D23" t="s">
        <v>1294</v>
      </c>
    </row>
    <row r="24" spans="1:5">
      <c r="A24">
        <f>MATCH(B24, 'Overall Matcher'!$E$3:$E$1023, 0)</f>
        <v>191</v>
      </c>
      <c r="B24" t="s">
        <v>127</v>
      </c>
      <c r="C24" t="s">
        <v>390</v>
      </c>
      <c r="D24" t="s">
        <v>1293</v>
      </c>
    </row>
    <row r="25" spans="1:5">
      <c r="A25">
        <f>MATCH(B25, 'Overall Matcher'!$E$3:$E$1023, 0)</f>
        <v>192</v>
      </c>
      <c r="B25" t="s">
        <v>128</v>
      </c>
      <c r="C25" t="s">
        <v>390</v>
      </c>
      <c r="D25" t="s">
        <v>1292</v>
      </c>
    </row>
    <row r="26" spans="1:5">
      <c r="A26" t="e">
        <f>MATCH(B26, 'Overall Matcher'!$E$3:$E$1023, 0)</f>
        <v>#N/A</v>
      </c>
      <c r="B26" t="s">
        <v>129</v>
      </c>
      <c r="C26" t="s">
        <v>390</v>
      </c>
      <c r="D26" t="s">
        <v>1290</v>
      </c>
      <c r="E26" t="s">
        <v>1291</v>
      </c>
    </row>
    <row r="27" spans="1:5">
      <c r="A27">
        <f>MATCH(B27, 'Overall Matcher'!$E$3:$E$1023, 0)</f>
        <v>223</v>
      </c>
      <c r="B27" t="s">
        <v>130</v>
      </c>
      <c r="C27" t="s">
        <v>390</v>
      </c>
      <c r="D27" t="s">
        <v>1289</v>
      </c>
    </row>
    <row r="28" spans="1:5">
      <c r="A28">
        <f>MATCH(B28, 'Overall Matcher'!$E$3:$E$1023, 0)</f>
        <v>246</v>
      </c>
      <c r="B28" t="s">
        <v>131</v>
      </c>
      <c r="C28" t="s">
        <v>390</v>
      </c>
      <c r="D28" t="s">
        <v>1288</v>
      </c>
      <c r="E28" t="s">
        <v>1255</v>
      </c>
    </row>
    <row r="29" spans="1:5">
      <c r="A29" t="e">
        <f>MATCH(B29, 'Overall Matcher'!$E$3:$E$1023, 0)</f>
        <v>#N/A</v>
      </c>
      <c r="B29" t="s">
        <v>133</v>
      </c>
      <c r="C29" s="27" t="s">
        <v>390</v>
      </c>
      <c r="D29" s="27" t="s">
        <v>1287</v>
      </c>
    </row>
    <row r="30" spans="1:5">
      <c r="A30">
        <f>MATCH(B30, 'Overall Matcher'!$E$3:$E$1023, 0)</f>
        <v>235</v>
      </c>
      <c r="B30" t="s">
        <v>135</v>
      </c>
      <c r="C30" t="s">
        <v>390</v>
      </c>
      <c r="D30" t="s">
        <v>1286</v>
      </c>
    </row>
    <row r="31" spans="1:5">
      <c r="A31">
        <f>MATCH(B31, 'Overall Matcher'!$E$3:$E$1023, 0)</f>
        <v>249</v>
      </c>
      <c r="B31" t="s">
        <v>142</v>
      </c>
      <c r="C31" t="s">
        <v>390</v>
      </c>
      <c r="D31" t="s">
        <v>1285</v>
      </c>
    </row>
    <row r="32" spans="1:5">
      <c r="A32">
        <f>MATCH(B32, 'Overall Matcher'!$E$3:$E$1023, 0)</f>
        <v>188</v>
      </c>
      <c r="B32" t="s">
        <v>143</v>
      </c>
      <c r="C32" t="s">
        <v>390</v>
      </c>
      <c r="D32" t="s">
        <v>1284</v>
      </c>
    </row>
    <row r="33" spans="1:5">
      <c r="A33">
        <f>MATCH(B33, 'Overall Matcher'!$E$3:$E$1023, 0)</f>
        <v>184</v>
      </c>
      <c r="B33" t="s">
        <v>144</v>
      </c>
      <c r="C33" t="s">
        <v>390</v>
      </c>
      <c r="D33" t="s">
        <v>1283</v>
      </c>
    </row>
    <row r="34" spans="1:5">
      <c r="A34">
        <f>MATCH(B34, 'Overall Matcher'!$E$3:$E$1023, 0)</f>
        <v>207</v>
      </c>
      <c r="B34" t="s">
        <v>145</v>
      </c>
      <c r="C34" t="s">
        <v>390</v>
      </c>
      <c r="D34" t="s">
        <v>1282</v>
      </c>
    </row>
    <row r="35" spans="1:5">
      <c r="A35">
        <f>MATCH(B35, 'Overall Matcher'!$E$3:$E$1023, 0)</f>
        <v>196</v>
      </c>
      <c r="B35" t="s">
        <v>147</v>
      </c>
      <c r="C35" t="s">
        <v>390</v>
      </c>
      <c r="D35" t="s">
        <v>1281</v>
      </c>
    </row>
    <row r="36" spans="1:5">
      <c r="A36">
        <f>MATCH(B36, 'Overall Matcher'!$E$3:$E$1023, 0)</f>
        <v>198</v>
      </c>
      <c r="B36" t="s">
        <v>148</v>
      </c>
      <c r="C36" t="s">
        <v>390</v>
      </c>
      <c r="D36" t="s">
        <v>1280</v>
      </c>
    </row>
    <row r="37" spans="1:5">
      <c r="A37">
        <f>MATCH(B37, 'Overall Matcher'!$E$3:$E$1023, 0)</f>
        <v>199</v>
      </c>
      <c r="B37" t="s">
        <v>149</v>
      </c>
      <c r="C37" t="s">
        <v>390</v>
      </c>
      <c r="D37" t="s">
        <v>1279</v>
      </c>
    </row>
    <row r="38" spans="1:5">
      <c r="A38">
        <f>MATCH(B38, 'Overall Matcher'!$E$3:$E$1023, 0)</f>
        <v>201</v>
      </c>
      <c r="B38" t="s">
        <v>157</v>
      </c>
      <c r="C38" t="s">
        <v>390</v>
      </c>
      <c r="D38" t="s">
        <v>1278</v>
      </c>
    </row>
    <row r="39" spans="1:5">
      <c r="A39">
        <f>MATCH(B39, 'Overall Matcher'!$E$3:$E$1023, 0)</f>
        <v>202</v>
      </c>
      <c r="B39" t="s">
        <v>159</v>
      </c>
      <c r="C39" t="s">
        <v>390</v>
      </c>
      <c r="D39" t="s">
        <v>1276</v>
      </c>
      <c r="E39" t="s">
        <v>1277</v>
      </c>
    </row>
    <row r="40" spans="1:5">
      <c r="A40">
        <f>MATCH(B40, 'Overall Matcher'!$E$3:$E$1023, 0)</f>
        <v>203</v>
      </c>
      <c r="B40" t="s">
        <v>160</v>
      </c>
      <c r="C40" t="s">
        <v>390</v>
      </c>
      <c r="D40" t="s">
        <v>1275</v>
      </c>
    </row>
    <row r="41" spans="1:5">
      <c r="A41">
        <f>MATCH(B41, 'Overall Matcher'!$E$3:$E$1023, 0)</f>
        <v>204</v>
      </c>
      <c r="B41" t="s">
        <v>161</v>
      </c>
      <c r="C41" t="s">
        <v>390</v>
      </c>
      <c r="D41" t="s">
        <v>1274</v>
      </c>
    </row>
    <row r="42" spans="1:5">
      <c r="A42">
        <f>MATCH(B42, 'Overall Matcher'!$E$3:$E$1023, 0)</f>
        <v>200</v>
      </c>
      <c r="B42" t="s">
        <v>1327</v>
      </c>
      <c r="C42" t="s">
        <v>390</v>
      </c>
      <c r="D42" t="s">
        <v>1330</v>
      </c>
    </row>
    <row r="43" spans="1:5">
      <c r="A43">
        <f>MATCH(B43, 'Overall Matcher'!$E$3:$E$1023, 0)</f>
        <v>218</v>
      </c>
      <c r="B43" t="s">
        <v>168</v>
      </c>
      <c r="C43" t="s">
        <v>78</v>
      </c>
      <c r="D43" t="s">
        <v>1272</v>
      </c>
    </row>
    <row r="44" spans="1:5">
      <c r="A44">
        <f>MATCH(B44, 'Overall Matcher'!$E$3:$E$1023, 0)</f>
        <v>220</v>
      </c>
      <c r="B44" t="s">
        <v>1039</v>
      </c>
      <c r="C44" t="s">
        <v>78</v>
      </c>
      <c r="D44" t="s">
        <v>1273</v>
      </c>
    </row>
    <row r="45" spans="1:5">
      <c r="A45">
        <f>MATCH(B45, 'Overall Matcher'!$E$3:$E$1023, 0)</f>
        <v>217</v>
      </c>
      <c r="B45" t="s">
        <v>1040</v>
      </c>
      <c r="C45" t="s">
        <v>1046</v>
      </c>
      <c r="D45" t="s">
        <v>1272</v>
      </c>
    </row>
    <row r="46" spans="1:5">
      <c r="A46">
        <f>MATCH(B46, 'Overall Matcher'!$E$3:$E$1023, 0)</f>
        <v>219</v>
      </c>
      <c r="B46" t="s">
        <v>1041</v>
      </c>
      <c r="C46" t="s">
        <v>1046</v>
      </c>
      <c r="D46" t="s">
        <v>1271</v>
      </c>
    </row>
    <row r="47" spans="1:5">
      <c r="A47">
        <f>MATCH(B47, 'Overall Matcher'!$E$3:$E$1023, 0)</f>
        <v>221</v>
      </c>
      <c r="B47" t="s">
        <v>1042</v>
      </c>
      <c r="C47" t="s">
        <v>1046</v>
      </c>
      <c r="D47" t="s">
        <v>1270</v>
      </c>
    </row>
    <row r="48" spans="1:5">
      <c r="A48">
        <f>MATCH(B48, 'Overall Matcher'!$E$3:$E$1023, 0)</f>
        <v>154</v>
      </c>
      <c r="B48" t="s">
        <v>73</v>
      </c>
      <c r="C48" t="s">
        <v>72</v>
      </c>
      <c r="D48" t="s">
        <v>1269</v>
      </c>
    </row>
    <row r="49" spans="1:5">
      <c r="A49">
        <f>MATCH(B49, 'Overall Matcher'!$E$3:$E$1023, 0)</f>
        <v>155</v>
      </c>
      <c r="B49" t="s">
        <v>75</v>
      </c>
      <c r="C49" t="s">
        <v>72</v>
      </c>
      <c r="D49" t="s">
        <v>382</v>
      </c>
    </row>
    <row r="50" spans="1:5">
      <c r="A50">
        <f>MATCH(B50, 'Overall Matcher'!$E$3:$E$1023, 0)</f>
        <v>156</v>
      </c>
      <c r="B50" t="s">
        <v>76</v>
      </c>
      <c r="C50" t="s">
        <v>72</v>
      </c>
      <c r="D50" t="s">
        <v>383</v>
      </c>
    </row>
    <row r="51" spans="1:5">
      <c r="A51">
        <f>MATCH(B51, 'Overall Matcher'!$E$3:$E$1023, 0)</f>
        <v>157</v>
      </c>
      <c r="B51" t="s">
        <v>77</v>
      </c>
      <c r="C51" t="s">
        <v>72</v>
      </c>
      <c r="D51" t="s">
        <v>1268</v>
      </c>
    </row>
    <row r="52" spans="1:5">
      <c r="A52" t="e">
        <f>MATCH(B52, 'Overall Matcher'!$E$3:$E$1023, 0)</f>
        <v>#N/A</v>
      </c>
      <c r="B52" t="s">
        <v>79</v>
      </c>
      <c r="C52" t="s">
        <v>72</v>
      </c>
      <c r="D52" t="s">
        <v>1325</v>
      </c>
    </row>
    <row r="53" spans="1:5">
      <c r="A53">
        <f>MATCH(B53, 'Overall Matcher'!$E$3:$E$1023, 0)</f>
        <v>180</v>
      </c>
      <c r="B53" t="s">
        <v>80</v>
      </c>
      <c r="C53" t="s">
        <v>72</v>
      </c>
      <c r="D53" t="s">
        <v>1266</v>
      </c>
    </row>
    <row r="54" spans="1:5">
      <c r="A54">
        <f>MATCH(B54, 'Overall Matcher'!$E$3:$E$1023, 0)</f>
        <v>160</v>
      </c>
      <c r="B54" t="s">
        <v>81</v>
      </c>
      <c r="C54" t="s">
        <v>72</v>
      </c>
      <c r="D54" t="s">
        <v>1265</v>
      </c>
    </row>
    <row r="55" spans="1:5">
      <c r="A55">
        <f>MATCH(B55, 'Overall Matcher'!$E$3:$E$1023, 0)</f>
        <v>177</v>
      </c>
      <c r="B55" t="s">
        <v>82</v>
      </c>
      <c r="C55" t="s">
        <v>72</v>
      </c>
      <c r="D55" t="s">
        <v>1264</v>
      </c>
    </row>
    <row r="56" spans="1:5">
      <c r="A56">
        <f>MATCH(B56, 'Overall Matcher'!$E$3:$E$1023, 0)</f>
        <v>165</v>
      </c>
      <c r="B56" t="s">
        <v>83</v>
      </c>
      <c r="C56" t="s">
        <v>72</v>
      </c>
      <c r="D56" t="s">
        <v>1263</v>
      </c>
    </row>
    <row r="57" spans="1:5">
      <c r="A57">
        <f>MATCH(B57, 'Overall Matcher'!$E$3:$E$1023, 0)</f>
        <v>164</v>
      </c>
      <c r="B57" t="s">
        <v>84</v>
      </c>
      <c r="C57" t="s">
        <v>72</v>
      </c>
      <c r="D57" t="s">
        <v>1262</v>
      </c>
    </row>
    <row r="58" spans="1:5">
      <c r="A58">
        <f>MATCH(B58, 'Overall Matcher'!$E$3:$E$1023, 0)</f>
        <v>175</v>
      </c>
      <c r="B58" t="s">
        <v>85</v>
      </c>
      <c r="C58" t="s">
        <v>72</v>
      </c>
      <c r="D58" t="s">
        <v>1261</v>
      </c>
    </row>
    <row r="59" spans="1:5">
      <c r="A59">
        <f>MATCH(B59, 'Overall Matcher'!$E$3:$E$1023, 0)</f>
        <v>176</v>
      </c>
      <c r="B59" t="s">
        <v>86</v>
      </c>
      <c r="C59" t="s">
        <v>72</v>
      </c>
      <c r="D59" t="s">
        <v>1258</v>
      </c>
    </row>
    <row r="60" spans="1:5">
      <c r="A60">
        <f>MATCH(B60, 'Overall Matcher'!$E$3:$E$1023, 0)</f>
        <v>178</v>
      </c>
      <c r="B60" t="s">
        <v>87</v>
      </c>
      <c r="C60" t="s">
        <v>72</v>
      </c>
      <c r="D60" t="s">
        <v>1256</v>
      </c>
    </row>
    <row r="61" spans="1:5">
      <c r="A61">
        <f>MATCH(B61, 'Overall Matcher'!$E$3:$E$1023, 0)</f>
        <v>174</v>
      </c>
      <c r="B61" t="s">
        <v>88</v>
      </c>
      <c r="C61" t="s">
        <v>72</v>
      </c>
      <c r="D61" t="s">
        <v>1253</v>
      </c>
      <c r="E61" t="s">
        <v>1255</v>
      </c>
    </row>
    <row r="62" spans="1:5">
      <c r="A62">
        <f>MATCH(B62, 'Overall Matcher'!$E$3:$E$1023, 0)</f>
        <v>179</v>
      </c>
      <c r="B62" t="s">
        <v>89</v>
      </c>
      <c r="C62" t="s">
        <v>72</v>
      </c>
      <c r="D62" t="s">
        <v>1252</v>
      </c>
    </row>
    <row r="63" spans="1:5">
      <c r="A63">
        <f>MATCH(B63, 'Overall Matcher'!$E$3:$E$1023, 0)</f>
        <v>173</v>
      </c>
      <c r="B63" t="s">
        <v>90</v>
      </c>
      <c r="C63" t="s">
        <v>72</v>
      </c>
      <c r="D63" t="s">
        <v>1248</v>
      </c>
    </row>
    <row r="64" spans="1:5">
      <c r="A64">
        <f>MATCH(B64, 'Overall Matcher'!$E$3:$E$1023, 0)</f>
        <v>166</v>
      </c>
      <c r="B64" t="s">
        <v>92</v>
      </c>
      <c r="C64" t="s">
        <v>72</v>
      </c>
      <c r="D64" t="s">
        <v>1247</v>
      </c>
    </row>
    <row r="65" spans="1:4">
      <c r="A65">
        <f>MATCH(B65, 'Overall Matcher'!$E$3:$E$1023, 0)</f>
        <v>167</v>
      </c>
      <c r="B65" t="s">
        <v>93</v>
      </c>
      <c r="C65" t="s">
        <v>72</v>
      </c>
      <c r="D65" t="s">
        <v>388</v>
      </c>
    </row>
    <row r="66" spans="1:4">
      <c r="A66">
        <f>MATCH(B66, 'Overall Matcher'!$E$3:$E$1023, 0)</f>
        <v>172</v>
      </c>
      <c r="B66" t="s">
        <v>94</v>
      </c>
      <c r="C66" t="s">
        <v>72</v>
      </c>
      <c r="D66" t="s">
        <v>1317</v>
      </c>
    </row>
    <row r="67" spans="1:4">
      <c r="A67">
        <f>MATCH(B67, 'Overall Matcher'!$E$3:$E$1023, 0)</f>
        <v>168</v>
      </c>
      <c r="B67" t="s">
        <v>1315</v>
      </c>
      <c r="C67" t="s">
        <v>72</v>
      </c>
      <c r="D67" t="s">
        <v>1316</v>
      </c>
    </row>
    <row r="68" spans="1:4">
      <c r="A68">
        <f>MATCH(B68, 'Overall Matcher'!$E$3:$E$1023, 0)</f>
        <v>169</v>
      </c>
      <c r="B68" t="s">
        <v>1318</v>
      </c>
      <c r="C68" t="s">
        <v>72</v>
      </c>
      <c r="D68" t="s">
        <v>1319</v>
      </c>
    </row>
    <row r="69" spans="1:4">
      <c r="A69">
        <f>MATCH(B69, 'Overall Matcher'!$E$3:$E$1023, 0)</f>
        <v>170</v>
      </c>
      <c r="B69" t="s">
        <v>1320</v>
      </c>
      <c r="C69" t="s">
        <v>72</v>
      </c>
      <c r="D69" t="s">
        <v>1321</v>
      </c>
    </row>
    <row r="70" spans="1:4">
      <c r="A70">
        <f>MATCH(B70, 'Overall Matcher'!$E$3:$E$1023, 0)</f>
        <v>171</v>
      </c>
      <c r="B70" t="s">
        <v>1322</v>
      </c>
      <c r="C70" t="s">
        <v>72</v>
      </c>
      <c r="D70" t="s">
        <v>1323</v>
      </c>
    </row>
    <row r="71" spans="1:4">
      <c r="A71">
        <f>MATCH(B71, 'Overall Matcher'!$E$3:$E$1023, 0)</f>
        <v>181</v>
      </c>
      <c r="B71" t="s">
        <v>1324</v>
      </c>
      <c r="C71" t="s">
        <v>72</v>
      </c>
      <c r="D71" t="s">
        <v>1326</v>
      </c>
    </row>
    <row r="72" spans="1:4">
      <c r="A72">
        <f>MATCH(B72, 'Overall Matcher'!$E$3:$E$1023, 0)</f>
        <v>257</v>
      </c>
      <c r="B72" t="s">
        <v>107</v>
      </c>
      <c r="C72" t="s">
        <v>106</v>
      </c>
      <c r="D72" t="s">
        <v>1239</v>
      </c>
    </row>
    <row r="73" spans="1:4">
      <c r="A73">
        <f>MATCH(B73, 'Overall Matcher'!$E$3:$E$1023, 0)</f>
        <v>258</v>
      </c>
      <c r="B73" t="s">
        <v>108</v>
      </c>
      <c r="C73" t="s">
        <v>106</v>
      </c>
      <c r="D73" t="s">
        <v>1240</v>
      </c>
    </row>
    <row r="74" spans="1:4">
      <c r="A74">
        <f>MATCH(B74, 'Overall Matcher'!$E$3:$E$1023, 0)</f>
        <v>259</v>
      </c>
      <c r="B74" t="s">
        <v>109</v>
      </c>
      <c r="C74" t="s">
        <v>106</v>
      </c>
      <c r="D74" t="s">
        <v>1241</v>
      </c>
    </row>
    <row r="75" spans="1:4">
      <c r="A75">
        <f>MATCH(B75, 'Overall Matcher'!$E$3:$E$1023, 0)</f>
        <v>254</v>
      </c>
      <c r="B75" t="s">
        <v>110</v>
      </c>
      <c r="C75" t="s">
        <v>106</v>
      </c>
      <c r="D75" t="s">
        <v>1238</v>
      </c>
    </row>
    <row r="76" spans="1:4">
      <c r="A76">
        <f>MATCH(B76, 'Overall Matcher'!$E$3:$E$1023, 0)</f>
        <v>208</v>
      </c>
      <c r="B76" t="s">
        <v>150</v>
      </c>
      <c r="C76" t="s">
        <v>1045</v>
      </c>
      <c r="D76" t="s">
        <v>1051</v>
      </c>
    </row>
    <row r="77" spans="1:4">
      <c r="A77">
        <f>MATCH(B77, 'Overall Matcher'!$E$3:$E$1023, 0)</f>
        <v>209</v>
      </c>
      <c r="B77" t="s">
        <v>152</v>
      </c>
      <c r="C77" t="s">
        <v>1045</v>
      </c>
      <c r="D77" t="s">
        <v>1052</v>
      </c>
    </row>
    <row r="78" spans="1:4">
      <c r="A78">
        <f>MATCH(B78, 'Overall Matcher'!$E$3:$E$1023, 0)</f>
        <v>210</v>
      </c>
      <c r="B78" t="s">
        <v>153</v>
      </c>
      <c r="C78" t="s">
        <v>1045</v>
      </c>
      <c r="D78" t="s">
        <v>1053</v>
      </c>
    </row>
    <row r="79" spans="1:4">
      <c r="A79">
        <f>MATCH(B79, 'Overall Matcher'!$E$3:$E$1023, 0)</f>
        <v>211</v>
      </c>
      <c r="B79" t="s">
        <v>154</v>
      </c>
      <c r="C79" t="s">
        <v>1045</v>
      </c>
      <c r="D79" t="s">
        <v>1054</v>
      </c>
    </row>
    <row r="80" spans="1:4">
      <c r="A80">
        <f>MATCH(B80, 'Overall Matcher'!$E$3:$E$1023, 0)</f>
        <v>212</v>
      </c>
      <c r="B80" t="s">
        <v>155</v>
      </c>
      <c r="C80" t="s">
        <v>1045</v>
      </c>
      <c r="D80" t="s">
        <v>1055</v>
      </c>
    </row>
    <row r="81" spans="1:4">
      <c r="A81">
        <f>MATCH(B81, 'Overall Matcher'!$E$3:$E$1023, 0)</f>
        <v>213</v>
      </c>
      <c r="B81" t="s">
        <v>156</v>
      </c>
      <c r="C81" t="s">
        <v>1045</v>
      </c>
      <c r="D81" t="s">
        <v>1056</v>
      </c>
    </row>
    <row r="82" spans="1:4">
      <c r="A82">
        <f>MATCH(B82, 'Overall Matcher'!$E$3:$E$1023, 0)</f>
        <v>214</v>
      </c>
      <c r="B82" t="s">
        <v>170</v>
      </c>
      <c r="C82" t="s">
        <v>1045</v>
      </c>
      <c r="D82" t="s">
        <v>1048</v>
      </c>
    </row>
    <row r="83" spans="1:4">
      <c r="A83">
        <f>MATCH(B83, 'Overall Matcher'!$E$3:$E$1023, 0)</f>
        <v>215</v>
      </c>
      <c r="B83" t="s">
        <v>173</v>
      </c>
      <c r="C83" t="s">
        <v>1045</v>
      </c>
      <c r="D83" t="s">
        <v>1049</v>
      </c>
    </row>
    <row r="84" spans="1:4">
      <c r="A84">
        <f>MATCH(B84, 'Overall Matcher'!$E$3:$E$1023, 0)</f>
        <v>216</v>
      </c>
      <c r="B84" t="s">
        <v>174</v>
      </c>
      <c r="C84" t="s">
        <v>1045</v>
      </c>
      <c r="D84" t="s">
        <v>1050</v>
      </c>
    </row>
    <row r="85" spans="1:4">
      <c r="A85">
        <f>MATCH(B85, 'Overall Matcher'!$E$3:$E$1023, 0)</f>
        <v>38</v>
      </c>
      <c r="B85" t="s">
        <v>140</v>
      </c>
      <c r="C85" t="s">
        <v>1044</v>
      </c>
      <c r="D85" t="s">
        <v>1058</v>
      </c>
    </row>
    <row r="86" spans="1:4">
      <c r="A86">
        <f>MATCH(B86, 'Overall Matcher'!$E$3:$E$1023, 0)</f>
        <v>241</v>
      </c>
      <c r="B86" t="s">
        <v>141</v>
      </c>
      <c r="C86" t="s">
        <v>1044</v>
      </c>
      <c r="D86" t="s">
        <v>1059</v>
      </c>
    </row>
    <row r="87" spans="1:4">
      <c r="A87" t="e">
        <f>MATCH(B87, 'Overall Matcher'!$E$3:$E$1023, 0)</f>
        <v>#N/A</v>
      </c>
      <c r="B87" t="s">
        <v>105</v>
      </c>
      <c r="C87" t="s">
        <v>8</v>
      </c>
      <c r="D87" t="s">
        <v>1057</v>
      </c>
    </row>
  </sheetData>
  <mergeCells count="1">
    <mergeCell ref="B1:E1"/>
  </mergeCells>
  <phoneticPr fontId="7"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5" id="{0FDEA97A-2432-48FD-9993-05ACA8DE3CF7}">
            <xm:f>MATCH(B4, 'Overall Matcher'!$E$3:$E$1030, 0)</xm:f>
            <x14:dxf>
              <fill>
                <patternFill>
                  <bgColor rgb="FF92D050"/>
                </patternFill>
              </fill>
            </x14:dxf>
          </x14:cfRule>
          <xm:sqref>B4:B52 B54:B1030</xm:sqref>
        </x14:conditionalFormatting>
        <x14:conditionalFormatting xmlns:xm="http://schemas.microsoft.com/office/excel/2006/main">
          <x14:cfRule type="expression" priority="1" id="{DB8D7893-9AF3-4A1F-A19E-8A0011AF69BC}">
            <xm:f>MATCH(B53, 'Overall Matcher'!$E$3:$E$1023, TRUE)</xm:f>
            <x14:dxf>
              <fill>
                <patternFill>
                  <bgColor rgb="FF92D050"/>
                </patternFill>
              </fill>
            </x14:dxf>
          </x14:cfRule>
          <xm:sqref>B53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5D82-C0EF-4C27-9C17-E78FC90D761A}">
  <dimension ref="A1:Q156"/>
  <sheetViews>
    <sheetView topLeftCell="A3" zoomScaleNormal="100" workbookViewId="0">
      <selection activeCell="F2" sqref="F2"/>
    </sheetView>
  </sheetViews>
  <sheetFormatPr defaultRowHeight="13.2"/>
  <cols>
    <col min="1" max="1" width="23.6640625" bestFit="1" customWidth="1"/>
    <col min="2" max="2" width="33" customWidth="1"/>
    <col min="3" max="3" width="12.33203125" bestFit="1" customWidth="1"/>
    <col min="4" max="4" width="89.109375" bestFit="1" customWidth="1"/>
    <col min="5" max="5" width="12.6640625" bestFit="1" customWidth="1"/>
    <col min="6" max="9" width="15.5546875" customWidth="1"/>
    <col min="12" max="12" width="14.5546875" bestFit="1" customWidth="1"/>
    <col min="13" max="13" width="16.44140625" bestFit="1" customWidth="1"/>
    <col min="14" max="14" width="19.33203125" bestFit="1" customWidth="1"/>
    <col min="15" max="15" width="16.109375" bestFit="1" customWidth="1"/>
    <col min="16" max="17" width="14.77734375" bestFit="1" customWidth="1"/>
  </cols>
  <sheetData>
    <row r="1" spans="1:17">
      <c r="A1" t="s">
        <v>218</v>
      </c>
      <c r="B1" t="s">
        <v>219</v>
      </c>
      <c r="L1" t="s">
        <v>976</v>
      </c>
      <c r="M1" t="s">
        <v>979</v>
      </c>
      <c r="N1" t="s">
        <v>982</v>
      </c>
      <c r="O1" t="s">
        <v>985</v>
      </c>
      <c r="P1" t="s">
        <v>985</v>
      </c>
      <c r="Q1" t="s">
        <v>985</v>
      </c>
    </row>
    <row r="2" spans="1:17">
      <c r="A2" t="s">
        <v>220</v>
      </c>
      <c r="B2">
        <v>1.1200000000000001</v>
      </c>
      <c r="L2" t="s">
        <v>977</v>
      </c>
      <c r="M2" t="s">
        <v>980</v>
      </c>
      <c r="N2" t="s">
        <v>983</v>
      </c>
      <c r="O2" t="s">
        <v>986</v>
      </c>
      <c r="P2" t="s">
        <v>986</v>
      </c>
      <c r="Q2" t="s">
        <v>986</v>
      </c>
    </row>
    <row r="3" spans="1:17">
      <c r="L3" t="s">
        <v>978</v>
      </c>
      <c r="M3" t="s">
        <v>981</v>
      </c>
      <c r="N3" t="s">
        <v>984</v>
      </c>
      <c r="O3" t="s">
        <v>987</v>
      </c>
      <c r="P3" t="s">
        <v>987</v>
      </c>
      <c r="Q3" t="s">
        <v>987</v>
      </c>
    </row>
    <row r="5" spans="1:17" ht="18" thickBot="1">
      <c r="A5" s="4" t="s">
        <v>221</v>
      </c>
      <c r="B5" s="4" t="s">
        <v>222</v>
      </c>
      <c r="C5" s="4" t="s">
        <v>223</v>
      </c>
      <c r="D5" s="4" t="s">
        <v>218</v>
      </c>
      <c r="E5" s="4" t="s">
        <v>227</v>
      </c>
      <c r="F5" s="6" t="s">
        <v>991</v>
      </c>
      <c r="G5" s="6" t="s">
        <v>970</v>
      </c>
      <c r="H5" s="6" t="s">
        <v>989</v>
      </c>
      <c r="I5" s="6" t="s">
        <v>990</v>
      </c>
      <c r="J5" s="6" t="s">
        <v>988</v>
      </c>
      <c r="K5" s="6" t="s">
        <v>969</v>
      </c>
      <c r="L5" s="6" t="s">
        <v>971</v>
      </c>
      <c r="M5" s="6" t="s">
        <v>35</v>
      </c>
      <c r="N5" s="6" t="s">
        <v>972</v>
      </c>
      <c r="O5" s="6" t="s">
        <v>973</v>
      </c>
      <c r="P5" s="6" t="s">
        <v>974</v>
      </c>
      <c r="Q5" s="6" t="s">
        <v>975</v>
      </c>
    </row>
    <row r="6" spans="1:17" ht="13.8" thickTop="1">
      <c r="A6" t="s">
        <v>224</v>
      </c>
      <c r="C6" s="1">
        <v>1</v>
      </c>
    </row>
    <row r="7" spans="1:17">
      <c r="B7" t="s">
        <v>225</v>
      </c>
      <c r="C7" s="1">
        <v>1.1000000000000001</v>
      </c>
    </row>
    <row r="8" spans="1:17">
      <c r="C8" s="1" t="s">
        <v>12</v>
      </c>
      <c r="D8" t="s">
        <v>226</v>
      </c>
      <c r="E8">
        <v>1</v>
      </c>
      <c r="F8" t="str">
        <f t="shared" ref="F8:F27" si="0">IF(G8=0, "NONE", IF(G8&lt;4, "LOW", IF(G8&lt;7, "MEDIUM", IF(G8&lt;9, "HIGH", "CRITICAL"))))</f>
        <v>LOW</v>
      </c>
      <c r="G8">
        <f>ROUND(((0.6*J8)+(0.4*H8)-1.5)*I8,1)</f>
        <v>3</v>
      </c>
      <c r="H8">
        <f>20*L8*M8*N8</f>
        <v>2.6986400000000001</v>
      </c>
      <c r="I8">
        <f>IF(J8=0, 0, 1.176)</f>
        <v>1.1759999999999999</v>
      </c>
      <c r="J8">
        <f>10.41*(1-(1-O8)*(1-P8)*(1-Q8))</f>
        <v>4.9382437499999998</v>
      </c>
      <c r="L8">
        <v>0.39500000000000002</v>
      </c>
      <c r="M8">
        <v>0.56000000000000005</v>
      </c>
      <c r="N8">
        <v>0.61</v>
      </c>
      <c r="O8">
        <v>0.27500000000000002</v>
      </c>
      <c r="P8">
        <v>0</v>
      </c>
      <c r="Q8">
        <v>0.27500000000000002</v>
      </c>
    </row>
    <row r="9" spans="1:17">
      <c r="C9" s="1" t="s">
        <v>13</v>
      </c>
      <c r="D9" t="s">
        <v>232</v>
      </c>
      <c r="E9">
        <v>1</v>
      </c>
      <c r="F9" t="str">
        <f t="shared" si="0"/>
        <v>LOW</v>
      </c>
      <c r="G9">
        <f t="shared" ref="G9:G28" si="1">ROUND(((0.6*J9)+(0.4*H9)-1.5)*I9,1)</f>
        <v>3</v>
      </c>
      <c r="H9">
        <f t="shared" ref="H9:H28" si="2">20*L9*M9*N9</f>
        <v>2.6986400000000001</v>
      </c>
      <c r="I9">
        <f t="shared" ref="I9:I78" si="3">IF(J9=0, 0, 1.176)</f>
        <v>1.1759999999999999</v>
      </c>
      <c r="J9">
        <f t="shared" ref="J9:J28" si="4">10.41*(1-(1-O9)*(1-P9)*(1-Q9))</f>
        <v>4.9382437499999998</v>
      </c>
      <c r="L9">
        <v>0.39500000000000002</v>
      </c>
      <c r="M9">
        <v>0.56000000000000005</v>
      </c>
      <c r="N9">
        <v>0.61</v>
      </c>
      <c r="O9">
        <v>0.27500000000000002</v>
      </c>
      <c r="P9">
        <v>0</v>
      </c>
      <c r="Q9">
        <v>0.27500000000000002</v>
      </c>
    </row>
    <row r="10" spans="1:17">
      <c r="C10" s="1" t="s">
        <v>14</v>
      </c>
      <c r="D10" t="s">
        <v>233</v>
      </c>
      <c r="E10">
        <v>1</v>
      </c>
      <c r="F10" t="str">
        <f t="shared" si="0"/>
        <v>LOW</v>
      </c>
      <c r="G10">
        <f t="shared" si="1"/>
        <v>3</v>
      </c>
      <c r="H10">
        <f t="shared" si="2"/>
        <v>2.6986400000000001</v>
      </c>
      <c r="I10">
        <f t="shared" si="3"/>
        <v>1.1759999999999999</v>
      </c>
      <c r="J10">
        <f t="shared" si="4"/>
        <v>4.9382437499999998</v>
      </c>
      <c r="L10">
        <v>0.39500000000000002</v>
      </c>
      <c r="M10">
        <v>0.56000000000000005</v>
      </c>
      <c r="N10">
        <v>0.61</v>
      </c>
      <c r="O10">
        <v>0.27500000000000002</v>
      </c>
      <c r="P10">
        <v>0</v>
      </c>
      <c r="Q10">
        <v>0.27500000000000002</v>
      </c>
    </row>
    <row r="11" spans="1:17">
      <c r="C11" s="1" t="s">
        <v>15</v>
      </c>
      <c r="D11" t="s">
        <v>234</v>
      </c>
      <c r="E11">
        <v>1</v>
      </c>
      <c r="F11" t="str">
        <f t="shared" si="0"/>
        <v>LOW</v>
      </c>
      <c r="G11">
        <f t="shared" si="1"/>
        <v>3</v>
      </c>
      <c r="H11">
        <f t="shared" si="2"/>
        <v>2.6986400000000001</v>
      </c>
      <c r="I11">
        <f t="shared" si="3"/>
        <v>1.1759999999999999</v>
      </c>
      <c r="J11">
        <f t="shared" si="4"/>
        <v>4.9382437499999998</v>
      </c>
      <c r="L11">
        <v>0.39500000000000002</v>
      </c>
      <c r="M11">
        <v>0.56000000000000005</v>
      </c>
      <c r="N11">
        <v>0.61</v>
      </c>
      <c r="O11">
        <v>0.27500000000000002</v>
      </c>
      <c r="P11">
        <v>0</v>
      </c>
      <c r="Q11">
        <v>0.27500000000000002</v>
      </c>
    </row>
    <row r="12" spans="1:17">
      <c r="C12" s="1" t="s">
        <v>16</v>
      </c>
      <c r="D12" t="s">
        <v>235</v>
      </c>
      <c r="E12">
        <v>1</v>
      </c>
      <c r="F12" t="str">
        <f t="shared" si="0"/>
        <v>LOW</v>
      </c>
      <c r="G12">
        <f t="shared" si="1"/>
        <v>3</v>
      </c>
      <c r="H12">
        <f t="shared" si="2"/>
        <v>2.6986400000000001</v>
      </c>
      <c r="I12">
        <f t="shared" si="3"/>
        <v>1.1759999999999999</v>
      </c>
      <c r="J12">
        <f t="shared" si="4"/>
        <v>4.9382437499999998</v>
      </c>
      <c r="L12">
        <v>0.39500000000000002</v>
      </c>
      <c r="M12">
        <v>0.56000000000000005</v>
      </c>
      <c r="N12">
        <v>0.61</v>
      </c>
      <c r="O12">
        <v>0.27500000000000002</v>
      </c>
      <c r="P12">
        <v>0</v>
      </c>
      <c r="Q12">
        <v>0.27500000000000002</v>
      </c>
    </row>
    <row r="13" spans="1:17">
      <c r="C13" s="1" t="s">
        <v>17</v>
      </c>
      <c r="D13" t="s">
        <v>236</v>
      </c>
      <c r="E13">
        <v>1</v>
      </c>
      <c r="F13" t="str">
        <f t="shared" si="0"/>
        <v>LOW</v>
      </c>
      <c r="G13">
        <f t="shared" si="1"/>
        <v>3</v>
      </c>
      <c r="H13">
        <f t="shared" si="2"/>
        <v>2.6986400000000001</v>
      </c>
      <c r="I13">
        <f t="shared" si="3"/>
        <v>1.1759999999999999</v>
      </c>
      <c r="J13">
        <f t="shared" si="4"/>
        <v>4.9382437499999998</v>
      </c>
      <c r="L13">
        <v>0.39500000000000002</v>
      </c>
      <c r="M13">
        <v>0.56000000000000005</v>
      </c>
      <c r="N13">
        <v>0.61</v>
      </c>
      <c r="O13">
        <v>0.27500000000000002</v>
      </c>
      <c r="P13">
        <v>0</v>
      </c>
      <c r="Q13">
        <v>0.27500000000000002</v>
      </c>
    </row>
    <row r="14" spans="1:17">
      <c r="C14" s="1" t="s">
        <v>18</v>
      </c>
      <c r="D14" t="s">
        <v>237</v>
      </c>
      <c r="E14">
        <v>1</v>
      </c>
      <c r="F14" t="str">
        <f t="shared" si="0"/>
        <v>LOW</v>
      </c>
      <c r="G14">
        <f t="shared" si="1"/>
        <v>3</v>
      </c>
      <c r="H14">
        <f t="shared" si="2"/>
        <v>2.6986400000000001</v>
      </c>
      <c r="I14">
        <f t="shared" si="3"/>
        <v>1.1759999999999999</v>
      </c>
      <c r="J14">
        <f t="shared" si="4"/>
        <v>4.9382437499999998</v>
      </c>
      <c r="L14">
        <v>0.39500000000000002</v>
      </c>
      <c r="M14">
        <v>0.56000000000000005</v>
      </c>
      <c r="N14">
        <v>0.61</v>
      </c>
      <c r="O14">
        <v>0.27500000000000002</v>
      </c>
      <c r="P14">
        <v>0</v>
      </c>
      <c r="Q14">
        <v>0.27500000000000002</v>
      </c>
    </row>
    <row r="15" spans="1:17">
      <c r="C15" s="1" t="s">
        <v>19</v>
      </c>
      <c r="D15" t="s">
        <v>238</v>
      </c>
      <c r="E15">
        <v>1</v>
      </c>
      <c r="F15" t="str">
        <f t="shared" si="0"/>
        <v>LOW</v>
      </c>
      <c r="G15">
        <f t="shared" si="1"/>
        <v>3</v>
      </c>
      <c r="H15">
        <f t="shared" si="2"/>
        <v>2.6986400000000001</v>
      </c>
      <c r="I15">
        <f t="shared" si="3"/>
        <v>1.1759999999999999</v>
      </c>
      <c r="J15">
        <f t="shared" si="4"/>
        <v>4.9382437499999998</v>
      </c>
      <c r="L15">
        <v>0.39500000000000002</v>
      </c>
      <c r="M15">
        <v>0.56000000000000005</v>
      </c>
      <c r="N15">
        <v>0.61</v>
      </c>
      <c r="O15">
        <v>0.27500000000000002</v>
      </c>
      <c r="P15">
        <v>0</v>
      </c>
      <c r="Q15">
        <v>0.27500000000000002</v>
      </c>
    </row>
    <row r="16" spans="1:17">
      <c r="C16" s="1" t="s">
        <v>228</v>
      </c>
      <c r="D16" t="s">
        <v>239</v>
      </c>
      <c r="E16">
        <v>0</v>
      </c>
      <c r="F16" t="str">
        <f t="shared" si="0"/>
        <v>LOW</v>
      </c>
      <c r="G16">
        <f t="shared" si="1"/>
        <v>3</v>
      </c>
      <c r="H16">
        <f t="shared" si="2"/>
        <v>2.6986400000000001</v>
      </c>
      <c r="I16">
        <f t="shared" si="3"/>
        <v>1.1759999999999999</v>
      </c>
      <c r="J16">
        <f t="shared" si="4"/>
        <v>4.9382437499999998</v>
      </c>
      <c r="L16">
        <v>0.39500000000000002</v>
      </c>
      <c r="M16">
        <v>0.56000000000000005</v>
      </c>
      <c r="N16">
        <v>0.61</v>
      </c>
      <c r="O16">
        <v>0.27500000000000002</v>
      </c>
      <c r="P16">
        <v>0</v>
      </c>
      <c r="Q16">
        <v>0.27500000000000002</v>
      </c>
    </row>
    <row r="17" spans="2:17">
      <c r="C17" s="1" t="s">
        <v>229</v>
      </c>
      <c r="D17" t="s">
        <v>240</v>
      </c>
      <c r="E17">
        <v>0</v>
      </c>
      <c r="F17" t="str">
        <f t="shared" si="0"/>
        <v>LOW</v>
      </c>
      <c r="G17">
        <f t="shared" si="1"/>
        <v>3</v>
      </c>
      <c r="H17">
        <f t="shared" si="2"/>
        <v>2.6986400000000001</v>
      </c>
      <c r="I17">
        <f t="shared" si="3"/>
        <v>1.1759999999999999</v>
      </c>
      <c r="J17">
        <f t="shared" si="4"/>
        <v>4.9382437499999998</v>
      </c>
      <c r="L17">
        <v>0.39500000000000002</v>
      </c>
      <c r="M17">
        <v>0.56000000000000005</v>
      </c>
      <c r="N17">
        <v>0.61</v>
      </c>
      <c r="O17">
        <v>0.27500000000000002</v>
      </c>
      <c r="P17">
        <v>0</v>
      </c>
      <c r="Q17">
        <v>0.27500000000000002</v>
      </c>
    </row>
    <row r="18" spans="2:17">
      <c r="C18" s="1" t="s">
        <v>20</v>
      </c>
      <c r="D18" t="s">
        <v>241</v>
      </c>
      <c r="E18">
        <v>1</v>
      </c>
      <c r="F18" t="str">
        <f t="shared" si="0"/>
        <v>LOW</v>
      </c>
      <c r="G18">
        <f t="shared" si="1"/>
        <v>3</v>
      </c>
      <c r="H18">
        <f t="shared" si="2"/>
        <v>2.6986400000000001</v>
      </c>
      <c r="I18">
        <f t="shared" si="3"/>
        <v>1.1759999999999999</v>
      </c>
      <c r="J18">
        <f t="shared" si="4"/>
        <v>4.9382437499999998</v>
      </c>
      <c r="L18">
        <v>0.39500000000000002</v>
      </c>
      <c r="M18">
        <v>0.56000000000000005</v>
      </c>
      <c r="N18">
        <v>0.61</v>
      </c>
      <c r="O18">
        <v>0.27500000000000002</v>
      </c>
      <c r="P18">
        <v>0</v>
      </c>
      <c r="Q18">
        <v>0.27500000000000002</v>
      </c>
    </row>
    <row r="19" spans="2:17">
      <c r="C19" s="1" t="s">
        <v>21</v>
      </c>
      <c r="D19" t="s">
        <v>242</v>
      </c>
      <c r="E19">
        <v>1</v>
      </c>
      <c r="F19" t="str">
        <f t="shared" si="0"/>
        <v>LOW</v>
      </c>
      <c r="G19">
        <f t="shared" si="1"/>
        <v>3</v>
      </c>
      <c r="H19">
        <f t="shared" si="2"/>
        <v>2.6986400000000001</v>
      </c>
      <c r="I19">
        <f t="shared" si="3"/>
        <v>1.1759999999999999</v>
      </c>
      <c r="J19">
        <f t="shared" si="4"/>
        <v>4.9382437499999998</v>
      </c>
      <c r="L19">
        <v>0.39500000000000002</v>
      </c>
      <c r="M19">
        <v>0.56000000000000005</v>
      </c>
      <c r="N19">
        <v>0.61</v>
      </c>
      <c r="O19">
        <v>0.27500000000000002</v>
      </c>
      <c r="P19">
        <v>0</v>
      </c>
      <c r="Q19">
        <v>0.27500000000000002</v>
      </c>
    </row>
    <row r="20" spans="2:17">
      <c r="C20" s="1" t="s">
        <v>22</v>
      </c>
      <c r="D20" t="s">
        <v>243</v>
      </c>
      <c r="E20">
        <v>1</v>
      </c>
      <c r="F20" t="str">
        <f t="shared" si="0"/>
        <v>MEDIUM</v>
      </c>
      <c r="G20">
        <f t="shared" si="1"/>
        <v>6</v>
      </c>
      <c r="H20">
        <f t="shared" si="2"/>
        <v>2.6986400000000001</v>
      </c>
      <c r="I20">
        <f t="shared" si="3"/>
        <v>1.1759999999999999</v>
      </c>
      <c r="J20">
        <f t="shared" si="4"/>
        <v>9.2066040000000005</v>
      </c>
      <c r="L20">
        <v>0.39500000000000002</v>
      </c>
      <c r="M20">
        <v>0.56000000000000005</v>
      </c>
      <c r="N20">
        <v>0.61</v>
      </c>
      <c r="O20">
        <v>0.66</v>
      </c>
      <c r="P20">
        <v>0</v>
      </c>
      <c r="Q20">
        <v>0.66</v>
      </c>
    </row>
    <row r="21" spans="2:17">
      <c r="C21" s="1" t="s">
        <v>23</v>
      </c>
      <c r="D21" t="s">
        <v>244</v>
      </c>
      <c r="E21">
        <v>1</v>
      </c>
      <c r="F21" t="str">
        <f t="shared" si="0"/>
        <v>MEDIUM</v>
      </c>
      <c r="G21">
        <f t="shared" si="1"/>
        <v>6</v>
      </c>
      <c r="H21">
        <f t="shared" si="2"/>
        <v>2.6986400000000001</v>
      </c>
      <c r="I21">
        <f t="shared" si="3"/>
        <v>1.1759999999999999</v>
      </c>
      <c r="J21">
        <f t="shared" si="4"/>
        <v>9.2066040000000005</v>
      </c>
      <c r="L21">
        <v>0.39500000000000002</v>
      </c>
      <c r="M21">
        <v>0.56000000000000005</v>
      </c>
      <c r="N21">
        <v>0.61</v>
      </c>
      <c r="O21">
        <v>0.66</v>
      </c>
      <c r="P21">
        <v>0</v>
      </c>
      <c r="Q21">
        <v>0.66</v>
      </c>
    </row>
    <row r="22" spans="2:17">
      <c r="C22" s="1" t="s">
        <v>24</v>
      </c>
      <c r="D22" t="s">
        <v>245</v>
      </c>
      <c r="E22">
        <v>1</v>
      </c>
      <c r="F22" t="str">
        <f t="shared" si="0"/>
        <v>LOW</v>
      </c>
      <c r="G22">
        <f t="shared" si="1"/>
        <v>3</v>
      </c>
      <c r="H22">
        <f t="shared" si="2"/>
        <v>2.6986400000000001</v>
      </c>
      <c r="I22">
        <f t="shared" si="3"/>
        <v>1.1759999999999999</v>
      </c>
      <c r="J22">
        <f t="shared" si="4"/>
        <v>4.9382437499999998</v>
      </c>
      <c r="L22">
        <v>0.39500000000000002</v>
      </c>
      <c r="M22">
        <v>0.56000000000000005</v>
      </c>
      <c r="N22">
        <v>0.61</v>
      </c>
      <c r="O22">
        <v>0.27500000000000002</v>
      </c>
      <c r="P22">
        <v>0</v>
      </c>
      <c r="Q22">
        <v>0.27500000000000002</v>
      </c>
    </row>
    <row r="23" spans="2:17">
      <c r="C23" s="1" t="s">
        <v>25</v>
      </c>
      <c r="D23" t="s">
        <v>246</v>
      </c>
      <c r="E23">
        <v>1</v>
      </c>
      <c r="F23" t="str">
        <f t="shared" si="0"/>
        <v>LOW</v>
      </c>
      <c r="G23">
        <f t="shared" si="1"/>
        <v>3</v>
      </c>
      <c r="H23">
        <f t="shared" si="2"/>
        <v>2.6986400000000001</v>
      </c>
      <c r="I23">
        <f t="shared" si="3"/>
        <v>1.1759999999999999</v>
      </c>
      <c r="J23">
        <f t="shared" si="4"/>
        <v>4.9382437499999998</v>
      </c>
      <c r="L23">
        <v>0.39500000000000002</v>
      </c>
      <c r="M23">
        <v>0.56000000000000005</v>
      </c>
      <c r="N23">
        <v>0.61</v>
      </c>
      <c r="O23">
        <v>0.27500000000000002</v>
      </c>
      <c r="P23">
        <v>0</v>
      </c>
      <c r="Q23">
        <v>0.27500000000000002</v>
      </c>
    </row>
    <row r="24" spans="2:17">
      <c r="C24" s="1" t="s">
        <v>26</v>
      </c>
      <c r="D24" t="s">
        <v>247</v>
      </c>
      <c r="E24">
        <v>1</v>
      </c>
      <c r="F24" t="str">
        <f t="shared" si="0"/>
        <v>LOW</v>
      </c>
      <c r="G24">
        <f t="shared" si="1"/>
        <v>3</v>
      </c>
      <c r="H24">
        <f t="shared" si="2"/>
        <v>2.6986400000000001</v>
      </c>
      <c r="I24">
        <f t="shared" si="3"/>
        <v>1.1759999999999999</v>
      </c>
      <c r="J24">
        <f t="shared" si="4"/>
        <v>4.9382437499999998</v>
      </c>
      <c r="L24">
        <v>0.39500000000000002</v>
      </c>
      <c r="M24">
        <v>0.56000000000000005</v>
      </c>
      <c r="N24">
        <v>0.61</v>
      </c>
      <c r="O24">
        <v>0.27500000000000002</v>
      </c>
      <c r="P24">
        <v>0</v>
      </c>
      <c r="Q24">
        <v>0.27500000000000002</v>
      </c>
    </row>
    <row r="25" spans="2:17">
      <c r="C25" s="1" t="s">
        <v>27</v>
      </c>
      <c r="D25" t="s">
        <v>248</v>
      </c>
      <c r="E25">
        <v>1</v>
      </c>
      <c r="F25" t="str">
        <f t="shared" si="0"/>
        <v>LOW</v>
      </c>
      <c r="G25">
        <f t="shared" si="1"/>
        <v>3</v>
      </c>
      <c r="H25">
        <f t="shared" si="2"/>
        <v>2.6986400000000001</v>
      </c>
      <c r="I25">
        <f t="shared" si="3"/>
        <v>1.1759999999999999</v>
      </c>
      <c r="J25">
        <f t="shared" si="4"/>
        <v>4.9382437499999998</v>
      </c>
      <c r="L25">
        <v>0.39500000000000002</v>
      </c>
      <c r="M25">
        <v>0.56000000000000005</v>
      </c>
      <c r="N25">
        <v>0.61</v>
      </c>
      <c r="O25">
        <v>0.27500000000000002</v>
      </c>
      <c r="P25">
        <v>0</v>
      </c>
      <c r="Q25">
        <v>0.27500000000000002</v>
      </c>
    </row>
    <row r="26" spans="2:17">
      <c r="C26" s="1" t="s">
        <v>28</v>
      </c>
      <c r="D26" t="s">
        <v>249</v>
      </c>
      <c r="E26">
        <v>1</v>
      </c>
      <c r="F26" t="str">
        <f t="shared" si="0"/>
        <v>MEDIUM</v>
      </c>
      <c r="G26">
        <f t="shared" si="1"/>
        <v>6</v>
      </c>
      <c r="H26">
        <f t="shared" si="2"/>
        <v>2.6986400000000001</v>
      </c>
      <c r="I26">
        <f t="shared" si="3"/>
        <v>1.1759999999999999</v>
      </c>
      <c r="J26">
        <f t="shared" si="4"/>
        <v>9.2066040000000005</v>
      </c>
      <c r="L26">
        <v>0.39500000000000002</v>
      </c>
      <c r="M26">
        <v>0.56000000000000005</v>
      </c>
      <c r="N26">
        <v>0.61</v>
      </c>
      <c r="O26">
        <v>0.66</v>
      </c>
      <c r="P26">
        <v>0</v>
      </c>
      <c r="Q26">
        <v>0.66</v>
      </c>
    </row>
    <row r="27" spans="2:17">
      <c r="C27" s="1" t="s">
        <v>230</v>
      </c>
      <c r="D27" t="s">
        <v>250</v>
      </c>
      <c r="E27">
        <v>0</v>
      </c>
      <c r="F27" t="str">
        <f t="shared" si="0"/>
        <v>LOW</v>
      </c>
      <c r="G27">
        <f t="shared" si="1"/>
        <v>1.5</v>
      </c>
      <c r="H27">
        <f t="shared" si="2"/>
        <v>2.6986400000000001</v>
      </c>
      <c r="I27">
        <f t="shared" si="3"/>
        <v>1.1759999999999999</v>
      </c>
      <c r="J27">
        <f t="shared" si="4"/>
        <v>2.8627500000000001</v>
      </c>
      <c r="L27">
        <v>0.39500000000000002</v>
      </c>
      <c r="M27">
        <v>0.56000000000000005</v>
      </c>
      <c r="N27">
        <v>0.61</v>
      </c>
      <c r="O27">
        <v>0</v>
      </c>
      <c r="P27">
        <v>0</v>
      </c>
      <c r="Q27">
        <v>0.27500000000000002</v>
      </c>
    </row>
    <row r="28" spans="2:17">
      <c r="C28" s="1" t="s">
        <v>231</v>
      </c>
      <c r="D28" t="s">
        <v>251</v>
      </c>
      <c r="E28">
        <v>0</v>
      </c>
      <c r="F28" t="str">
        <f>IF(G28=0, "NONE", IF(G28&lt;4, "LOW", IF(G28&lt;7, "MEDIUM", IF(G28&lt;9, "HIGH", "CRITICAL"))))</f>
        <v>MEDIUM</v>
      </c>
      <c r="G28">
        <f t="shared" si="1"/>
        <v>6</v>
      </c>
      <c r="H28">
        <f t="shared" si="2"/>
        <v>2.6986400000000001</v>
      </c>
      <c r="I28">
        <f t="shared" si="3"/>
        <v>1.1759999999999999</v>
      </c>
      <c r="J28">
        <f t="shared" si="4"/>
        <v>9.2066040000000005</v>
      </c>
      <c r="L28">
        <v>0.39500000000000002</v>
      </c>
      <c r="M28">
        <v>0.56000000000000005</v>
      </c>
      <c r="N28">
        <v>0.61</v>
      </c>
      <c r="O28">
        <v>0.66</v>
      </c>
      <c r="P28">
        <v>0</v>
      </c>
      <c r="Q28">
        <v>0.66</v>
      </c>
    </row>
    <row r="29" spans="2:17">
      <c r="B29" t="s">
        <v>3</v>
      </c>
      <c r="C29" s="1">
        <v>1.2</v>
      </c>
    </row>
    <row r="30" spans="2:17">
      <c r="C30" s="1" t="s">
        <v>252</v>
      </c>
      <c r="D30" t="s">
        <v>257</v>
      </c>
      <c r="E30">
        <v>0</v>
      </c>
      <c r="F30" t="str">
        <f t="shared" ref="F30:F34" si="5">IF(G30=0, "NONE", IF(G30&lt;4, "LOW", IF(G30&lt;7, "MEDIUM", IF(G30&lt;9, "HIGH", "CRITICAL"))))</f>
        <v>MEDIUM</v>
      </c>
      <c r="G30">
        <f t="shared" ref="G30" si="6">ROUND(((0.6*J30)+(0.4*H30)-1.5)*I30,1)</f>
        <v>5</v>
      </c>
      <c r="H30">
        <f t="shared" ref="H30" si="7">20*L30*M30*N30</f>
        <v>9.9967999999999986</v>
      </c>
      <c r="I30">
        <f t="shared" si="3"/>
        <v>1.1759999999999999</v>
      </c>
      <c r="J30">
        <f t="shared" ref="J30" si="8">10.41*(1-(1-O30)*(1-P30)*(1-Q30))</f>
        <v>2.8627500000000001</v>
      </c>
      <c r="L30">
        <v>1</v>
      </c>
      <c r="M30">
        <v>0.70399999999999996</v>
      </c>
      <c r="N30">
        <v>0.71</v>
      </c>
      <c r="O30">
        <v>0.27500000000000002</v>
      </c>
      <c r="P30">
        <v>0</v>
      </c>
      <c r="Q30">
        <v>0</v>
      </c>
    </row>
    <row r="31" spans="2:17">
      <c r="C31" s="1" t="s">
        <v>39</v>
      </c>
      <c r="D31" t="s">
        <v>258</v>
      </c>
      <c r="E31">
        <v>1</v>
      </c>
      <c r="F31" t="str">
        <f t="shared" si="5"/>
        <v>MEDIUM</v>
      </c>
      <c r="G31">
        <f t="shared" ref="G31:G59" si="9">ROUND(((0.6*J31)+(0.4*H31)-1.5)*I31,1)</f>
        <v>6.5</v>
      </c>
      <c r="H31">
        <f t="shared" ref="H31:H59" si="10">20*L31*M31*N31</f>
        <v>7.952</v>
      </c>
      <c r="I31">
        <f t="shared" si="3"/>
        <v>1.1759999999999999</v>
      </c>
      <c r="J31">
        <f t="shared" ref="J31:J59" si="11">10.41*(1-(1-O31)*(1-P31)*(1-Q31))</f>
        <v>6.4429767187500007</v>
      </c>
      <c r="L31">
        <v>1</v>
      </c>
      <c r="M31">
        <v>0.56000000000000005</v>
      </c>
      <c r="N31">
        <v>0.71</v>
      </c>
      <c r="O31">
        <v>0.27500000000000002</v>
      </c>
      <c r="P31">
        <v>0.27500000000000002</v>
      </c>
      <c r="Q31">
        <v>0.27500000000000002</v>
      </c>
    </row>
    <row r="32" spans="2:17">
      <c r="C32" s="1" t="s">
        <v>253</v>
      </c>
      <c r="D32" t="s">
        <v>259</v>
      </c>
      <c r="E32">
        <v>0</v>
      </c>
      <c r="F32" t="str">
        <f t="shared" si="5"/>
        <v>MEDIUM</v>
      </c>
      <c r="G32">
        <f t="shared" si="9"/>
        <v>4</v>
      </c>
      <c r="H32">
        <f t="shared" si="10"/>
        <v>7.952</v>
      </c>
      <c r="I32">
        <f t="shared" si="3"/>
        <v>1.1759999999999999</v>
      </c>
      <c r="J32">
        <f t="shared" si="11"/>
        <v>2.8627500000000001</v>
      </c>
      <c r="L32">
        <v>1</v>
      </c>
      <c r="M32">
        <v>0.56000000000000005</v>
      </c>
      <c r="N32">
        <v>0.71</v>
      </c>
      <c r="O32">
        <v>0</v>
      </c>
      <c r="P32">
        <v>0.27500000000000002</v>
      </c>
      <c r="Q32">
        <v>0</v>
      </c>
    </row>
    <row r="33" spans="3:17">
      <c r="C33" s="1" t="s">
        <v>254</v>
      </c>
      <c r="D33" t="s">
        <v>260</v>
      </c>
      <c r="E33">
        <v>1</v>
      </c>
      <c r="F33" t="str">
        <f t="shared" si="5"/>
        <v>MEDIUM</v>
      </c>
      <c r="G33">
        <f t="shared" si="9"/>
        <v>4.9000000000000004</v>
      </c>
      <c r="H33">
        <f t="shared" si="10"/>
        <v>4.4134720000000005</v>
      </c>
      <c r="I33">
        <f t="shared" si="3"/>
        <v>1.1759999999999999</v>
      </c>
      <c r="J33">
        <f t="shared" si="11"/>
        <v>6.4429767187500007</v>
      </c>
      <c r="L33">
        <v>0.64600000000000002</v>
      </c>
      <c r="M33">
        <v>0.56000000000000005</v>
      </c>
      <c r="N33">
        <v>0.61</v>
      </c>
      <c r="O33">
        <v>0.27500000000000002</v>
      </c>
      <c r="P33">
        <v>0.27500000000000002</v>
      </c>
      <c r="Q33">
        <v>0.27500000000000002</v>
      </c>
    </row>
    <row r="34" spans="3:17">
      <c r="C34" s="1" t="s">
        <v>215</v>
      </c>
      <c r="D34" t="s">
        <v>261</v>
      </c>
      <c r="E34">
        <v>1</v>
      </c>
      <c r="F34" t="str">
        <f t="shared" si="5"/>
        <v>HIGH</v>
      </c>
      <c r="G34">
        <f t="shared" si="9"/>
        <v>7.9</v>
      </c>
      <c r="H34">
        <f t="shared" si="10"/>
        <v>5.5483647999999999</v>
      </c>
      <c r="I34">
        <f t="shared" si="3"/>
        <v>1.1759999999999999</v>
      </c>
      <c r="J34">
        <f t="shared" si="11"/>
        <v>10.00084536</v>
      </c>
      <c r="L34">
        <v>0.64600000000000002</v>
      </c>
      <c r="M34">
        <v>0.70399999999999996</v>
      </c>
      <c r="N34">
        <v>0.61</v>
      </c>
      <c r="O34">
        <v>0.66</v>
      </c>
      <c r="P34">
        <v>0.66</v>
      </c>
      <c r="Q34">
        <v>0.66</v>
      </c>
    </row>
    <row r="35" spans="3:17">
      <c r="C35" s="1" t="s">
        <v>214</v>
      </c>
      <c r="D35" t="s">
        <v>262</v>
      </c>
      <c r="E35">
        <v>1</v>
      </c>
      <c r="F35" t="str">
        <f>IF(G35=0, "NONE", IF(G35&lt;4, "LOW", IF(G35&lt;7, "MEDIUM", IF(G35&lt;9, "HIGH", "CRITICAL"))))</f>
        <v>CRITICAL</v>
      </c>
      <c r="G35">
        <f t="shared" si="9"/>
        <v>10</v>
      </c>
      <c r="H35">
        <f t="shared" si="10"/>
        <v>9.9967999999999986</v>
      </c>
      <c r="I35">
        <f t="shared" si="3"/>
        <v>1.1759999999999999</v>
      </c>
      <c r="J35">
        <f t="shared" si="11"/>
        <v>10.00084536</v>
      </c>
      <c r="L35">
        <v>1</v>
      </c>
      <c r="M35">
        <v>0.70399999999999996</v>
      </c>
      <c r="N35">
        <v>0.71</v>
      </c>
      <c r="O35">
        <v>0.66</v>
      </c>
      <c r="P35">
        <v>0.66</v>
      </c>
      <c r="Q35">
        <v>0.66</v>
      </c>
    </row>
    <row r="36" spans="3:17">
      <c r="C36" s="1" t="s">
        <v>255</v>
      </c>
      <c r="D36" t="s">
        <v>263</v>
      </c>
      <c r="E36">
        <v>1</v>
      </c>
      <c r="F36" t="str">
        <f t="shared" ref="F36:F78" si="12">IF(G36=0, "NONE", IF(G36&lt;4, "LOW", IF(G36&lt;7, "MEDIUM", IF(G36&lt;9, "HIGH", "CRITICAL"))))</f>
        <v>LOW</v>
      </c>
      <c r="G36">
        <f t="shared" si="9"/>
        <v>2.7</v>
      </c>
      <c r="H36">
        <f t="shared" si="10"/>
        <v>5.1369920000000002</v>
      </c>
      <c r="I36">
        <f t="shared" si="3"/>
        <v>1.1759999999999999</v>
      </c>
      <c r="J36">
        <f t="shared" si="11"/>
        <v>2.8627500000000001</v>
      </c>
      <c r="L36">
        <v>0.64600000000000002</v>
      </c>
      <c r="M36">
        <v>0.56000000000000005</v>
      </c>
      <c r="N36">
        <v>0.71</v>
      </c>
      <c r="O36">
        <v>0.27500000000000002</v>
      </c>
      <c r="P36">
        <v>0</v>
      </c>
      <c r="Q36">
        <v>0</v>
      </c>
    </row>
    <row r="37" spans="3:17">
      <c r="C37" s="1" t="s">
        <v>256</v>
      </c>
      <c r="D37" t="s">
        <v>264</v>
      </c>
      <c r="E37">
        <v>1</v>
      </c>
      <c r="F37" t="str">
        <f t="shared" si="12"/>
        <v>MEDIUM</v>
      </c>
      <c r="G37">
        <f t="shared" si="9"/>
        <v>6.5</v>
      </c>
      <c r="H37">
        <f t="shared" si="10"/>
        <v>7.952</v>
      </c>
      <c r="I37">
        <f t="shared" si="3"/>
        <v>1.1759999999999999</v>
      </c>
      <c r="J37">
        <f t="shared" si="11"/>
        <v>6.4429767187500007</v>
      </c>
      <c r="L37">
        <v>1</v>
      </c>
      <c r="M37">
        <v>0.56000000000000005</v>
      </c>
      <c r="N37">
        <v>0.71</v>
      </c>
      <c r="O37">
        <v>0.27500000000000002</v>
      </c>
      <c r="P37">
        <v>0.27500000000000002</v>
      </c>
      <c r="Q37">
        <v>0.27500000000000002</v>
      </c>
    </row>
    <row r="38" spans="3:17">
      <c r="C38" s="1" t="s">
        <v>40</v>
      </c>
      <c r="D38" t="s">
        <v>265</v>
      </c>
      <c r="E38">
        <v>0</v>
      </c>
      <c r="F38" t="str">
        <f t="shared" si="12"/>
        <v>LOW</v>
      </c>
      <c r="G38">
        <f t="shared" si="9"/>
        <v>3.3</v>
      </c>
      <c r="H38">
        <f t="shared" si="10"/>
        <v>6.4579327999999991</v>
      </c>
      <c r="I38">
        <f t="shared" si="3"/>
        <v>1.1759999999999999</v>
      </c>
      <c r="J38">
        <f t="shared" si="11"/>
        <v>2.8627500000000001</v>
      </c>
      <c r="L38">
        <v>0.64600000000000002</v>
      </c>
      <c r="M38">
        <v>0.70399999999999996</v>
      </c>
      <c r="N38">
        <v>0.71</v>
      </c>
      <c r="O38">
        <v>0</v>
      </c>
      <c r="P38">
        <v>0.27500000000000002</v>
      </c>
      <c r="Q38">
        <v>0</v>
      </c>
    </row>
    <row r="39" spans="3:17">
      <c r="C39" s="1" t="s">
        <v>41</v>
      </c>
      <c r="D39" t="s">
        <v>266</v>
      </c>
      <c r="E39">
        <v>1</v>
      </c>
      <c r="F39" t="str">
        <f t="shared" si="12"/>
        <v>HIGH</v>
      </c>
      <c r="G39">
        <f t="shared" si="9"/>
        <v>7.7</v>
      </c>
      <c r="H39">
        <f t="shared" si="10"/>
        <v>5.1369920000000002</v>
      </c>
      <c r="I39">
        <f t="shared" si="3"/>
        <v>1.1759999999999999</v>
      </c>
      <c r="J39">
        <f t="shared" si="11"/>
        <v>10.00084536</v>
      </c>
      <c r="L39">
        <v>0.64600000000000002</v>
      </c>
      <c r="M39">
        <v>0.56000000000000005</v>
      </c>
      <c r="N39">
        <v>0.71</v>
      </c>
      <c r="O39">
        <v>0.66</v>
      </c>
      <c r="P39">
        <v>0.66</v>
      </c>
      <c r="Q39">
        <v>0.66</v>
      </c>
    </row>
    <row r="40" spans="3:17">
      <c r="C40" s="1" t="s">
        <v>42</v>
      </c>
      <c r="D40" t="s">
        <v>267</v>
      </c>
      <c r="E40">
        <v>0</v>
      </c>
      <c r="F40" t="str">
        <f t="shared" si="12"/>
        <v>LOW</v>
      </c>
      <c r="G40">
        <f t="shared" si="9"/>
        <v>2.2999999999999998</v>
      </c>
      <c r="H40">
        <f t="shared" si="10"/>
        <v>4.4134720000000005</v>
      </c>
      <c r="I40">
        <f t="shared" si="3"/>
        <v>1.1759999999999999</v>
      </c>
      <c r="J40">
        <f t="shared" si="11"/>
        <v>2.8627500000000001</v>
      </c>
      <c r="L40">
        <v>0.64600000000000002</v>
      </c>
      <c r="M40">
        <v>0.56000000000000005</v>
      </c>
      <c r="N40">
        <v>0.61</v>
      </c>
      <c r="O40">
        <v>0.27500000000000002</v>
      </c>
      <c r="P40">
        <v>0</v>
      </c>
      <c r="Q40">
        <v>0</v>
      </c>
    </row>
    <row r="41" spans="3:17">
      <c r="C41" s="1" t="s">
        <v>43</v>
      </c>
      <c r="D41" t="s">
        <v>268</v>
      </c>
      <c r="E41">
        <v>1</v>
      </c>
      <c r="F41" t="str">
        <f t="shared" si="12"/>
        <v>MEDIUM</v>
      </c>
      <c r="G41">
        <f t="shared" si="9"/>
        <v>5.2</v>
      </c>
      <c r="H41">
        <f t="shared" si="10"/>
        <v>5.1369920000000002</v>
      </c>
      <c r="I41">
        <f t="shared" si="3"/>
        <v>1.1759999999999999</v>
      </c>
      <c r="J41">
        <f t="shared" si="11"/>
        <v>6.4429767187500007</v>
      </c>
      <c r="L41">
        <v>0.64600000000000002</v>
      </c>
      <c r="M41">
        <v>0.56000000000000005</v>
      </c>
      <c r="N41">
        <v>0.71</v>
      </c>
      <c r="O41">
        <v>0.27500000000000002</v>
      </c>
      <c r="P41">
        <v>0.27500000000000002</v>
      </c>
      <c r="Q41">
        <v>0.27500000000000002</v>
      </c>
    </row>
    <row r="42" spans="3:17">
      <c r="C42" s="1" t="s">
        <v>44</v>
      </c>
      <c r="D42" t="s">
        <v>269</v>
      </c>
      <c r="E42">
        <v>1</v>
      </c>
      <c r="F42" t="str">
        <f t="shared" si="12"/>
        <v>MEDIUM</v>
      </c>
      <c r="G42">
        <f t="shared" si="9"/>
        <v>4.0999999999999996</v>
      </c>
      <c r="H42">
        <f t="shared" si="10"/>
        <v>5.1369920000000002</v>
      </c>
      <c r="I42">
        <f t="shared" si="3"/>
        <v>1.1759999999999999</v>
      </c>
      <c r="J42">
        <f t="shared" si="11"/>
        <v>4.9382437499999998</v>
      </c>
      <c r="L42">
        <v>0.64600000000000002</v>
      </c>
      <c r="M42">
        <v>0.56000000000000005</v>
      </c>
      <c r="N42">
        <v>0.71</v>
      </c>
      <c r="O42">
        <v>0</v>
      </c>
      <c r="P42">
        <v>0.27500000000000002</v>
      </c>
      <c r="Q42">
        <v>0.27500000000000002</v>
      </c>
    </row>
    <row r="43" spans="3:17">
      <c r="C43" s="1" t="s">
        <v>45</v>
      </c>
      <c r="D43" t="s">
        <v>270</v>
      </c>
      <c r="E43">
        <v>1</v>
      </c>
      <c r="F43" t="str">
        <f t="shared" si="12"/>
        <v>MEDIUM</v>
      </c>
      <c r="G43">
        <f t="shared" si="9"/>
        <v>4.9000000000000004</v>
      </c>
      <c r="H43">
        <f t="shared" si="10"/>
        <v>4.4134720000000005</v>
      </c>
      <c r="I43">
        <f t="shared" si="3"/>
        <v>1.1759999999999999</v>
      </c>
      <c r="J43">
        <f t="shared" si="11"/>
        <v>6.4429767187500007</v>
      </c>
      <c r="L43">
        <v>0.64600000000000002</v>
      </c>
      <c r="M43">
        <v>0.56000000000000005</v>
      </c>
      <c r="N43">
        <v>0.61</v>
      </c>
      <c r="O43">
        <v>0.27500000000000002</v>
      </c>
      <c r="P43">
        <v>0.27500000000000002</v>
      </c>
      <c r="Q43">
        <v>0.27500000000000002</v>
      </c>
    </row>
    <row r="44" spans="3:17">
      <c r="C44" s="1" t="s">
        <v>46</v>
      </c>
      <c r="D44" t="s">
        <v>271</v>
      </c>
      <c r="E44">
        <v>1</v>
      </c>
      <c r="F44" t="str">
        <f t="shared" si="12"/>
        <v>MEDIUM</v>
      </c>
      <c r="G44">
        <f t="shared" si="9"/>
        <v>4.0999999999999996</v>
      </c>
      <c r="H44">
        <f t="shared" si="10"/>
        <v>5.1369920000000002</v>
      </c>
      <c r="I44">
        <f t="shared" si="3"/>
        <v>1.1759999999999999</v>
      </c>
      <c r="J44">
        <f t="shared" si="11"/>
        <v>4.9382437499999998</v>
      </c>
      <c r="L44">
        <v>0.64600000000000002</v>
      </c>
      <c r="M44">
        <v>0.56000000000000005</v>
      </c>
      <c r="N44">
        <v>0.71</v>
      </c>
      <c r="O44">
        <v>0.27500000000000002</v>
      </c>
      <c r="P44">
        <v>0.27500000000000002</v>
      </c>
      <c r="Q44">
        <v>0</v>
      </c>
    </row>
    <row r="45" spans="3:17">
      <c r="C45" s="1" t="s">
        <v>48</v>
      </c>
      <c r="D45" t="s">
        <v>272</v>
      </c>
      <c r="E45">
        <v>1</v>
      </c>
      <c r="F45" t="str">
        <f t="shared" si="12"/>
        <v>NONE</v>
      </c>
      <c r="G45">
        <f t="shared" si="9"/>
        <v>0</v>
      </c>
      <c r="H45">
        <f t="shared" si="10"/>
        <v>3.9487360000000002</v>
      </c>
      <c r="I45">
        <f t="shared" si="3"/>
        <v>0</v>
      </c>
      <c r="J45">
        <f t="shared" si="11"/>
        <v>0</v>
      </c>
      <c r="L45">
        <v>0.39500000000000002</v>
      </c>
      <c r="M45">
        <v>0.70399999999999996</v>
      </c>
      <c r="N45">
        <v>0.71</v>
      </c>
      <c r="O45">
        <v>0</v>
      </c>
      <c r="P45">
        <v>0</v>
      </c>
      <c r="Q45">
        <v>0</v>
      </c>
    </row>
    <row r="46" spans="3:17">
      <c r="C46" s="1" t="s">
        <v>49</v>
      </c>
      <c r="D46" t="s">
        <v>273</v>
      </c>
      <c r="E46">
        <v>1</v>
      </c>
      <c r="F46" t="str">
        <f t="shared" si="12"/>
        <v>NONE</v>
      </c>
      <c r="G46">
        <f t="shared" si="9"/>
        <v>0</v>
      </c>
      <c r="H46">
        <f t="shared" si="10"/>
        <v>3.9487360000000002</v>
      </c>
      <c r="I46">
        <f t="shared" si="3"/>
        <v>0</v>
      </c>
      <c r="J46">
        <f t="shared" si="11"/>
        <v>0</v>
      </c>
      <c r="L46">
        <v>0.39500000000000002</v>
      </c>
      <c r="M46">
        <v>0.70399999999999996</v>
      </c>
      <c r="N46">
        <v>0.71</v>
      </c>
      <c r="O46">
        <v>0</v>
      </c>
      <c r="P46">
        <v>0</v>
      </c>
      <c r="Q46">
        <v>0</v>
      </c>
    </row>
    <row r="47" spans="3:17">
      <c r="C47" s="1" t="s">
        <v>50</v>
      </c>
      <c r="D47" t="s">
        <v>274</v>
      </c>
      <c r="E47">
        <v>1</v>
      </c>
      <c r="F47" t="str">
        <f t="shared" si="12"/>
        <v>NONE</v>
      </c>
      <c r="G47">
        <f t="shared" si="9"/>
        <v>0</v>
      </c>
      <c r="H47">
        <f t="shared" si="10"/>
        <v>3.9487360000000002</v>
      </c>
      <c r="I47">
        <f t="shared" si="3"/>
        <v>0</v>
      </c>
      <c r="J47">
        <f t="shared" si="11"/>
        <v>0</v>
      </c>
      <c r="L47">
        <v>0.39500000000000002</v>
      </c>
      <c r="M47">
        <v>0.70399999999999996</v>
      </c>
      <c r="N47">
        <v>0.71</v>
      </c>
      <c r="O47">
        <v>0</v>
      </c>
      <c r="P47">
        <v>0</v>
      </c>
      <c r="Q47">
        <v>0</v>
      </c>
    </row>
    <row r="48" spans="3:17">
      <c r="C48" s="1" t="s">
        <v>37</v>
      </c>
      <c r="D48" t="s">
        <v>275</v>
      </c>
      <c r="E48">
        <v>1</v>
      </c>
      <c r="F48" t="str">
        <f t="shared" si="12"/>
        <v>NONE</v>
      </c>
      <c r="G48">
        <f t="shared" si="9"/>
        <v>0</v>
      </c>
      <c r="H48">
        <f t="shared" si="10"/>
        <v>3.9487360000000002</v>
      </c>
      <c r="I48">
        <f t="shared" si="3"/>
        <v>0</v>
      </c>
      <c r="J48">
        <f t="shared" si="11"/>
        <v>0</v>
      </c>
      <c r="L48">
        <v>0.39500000000000002</v>
      </c>
      <c r="M48">
        <v>0.70399999999999996</v>
      </c>
      <c r="N48">
        <v>0.71</v>
      </c>
      <c r="O48">
        <v>0</v>
      </c>
      <c r="P48">
        <v>0</v>
      </c>
      <c r="Q48">
        <v>0</v>
      </c>
    </row>
    <row r="49" spans="2:17">
      <c r="C49" s="1" t="s">
        <v>51</v>
      </c>
      <c r="D49" t="s">
        <v>276</v>
      </c>
      <c r="E49">
        <v>0</v>
      </c>
      <c r="F49" t="str">
        <f t="shared" si="12"/>
        <v>MEDIUM</v>
      </c>
      <c r="G49">
        <f t="shared" si="9"/>
        <v>5</v>
      </c>
      <c r="H49">
        <f t="shared" si="10"/>
        <v>9.9967999999999986</v>
      </c>
      <c r="I49">
        <f t="shared" si="3"/>
        <v>1.1759999999999999</v>
      </c>
      <c r="J49">
        <f t="shared" si="11"/>
        <v>2.8627500000000001</v>
      </c>
      <c r="L49">
        <v>1</v>
      </c>
      <c r="M49">
        <v>0.70399999999999996</v>
      </c>
      <c r="N49">
        <v>0.71</v>
      </c>
      <c r="O49">
        <v>0</v>
      </c>
      <c r="P49">
        <v>0.27500000000000002</v>
      </c>
      <c r="Q49">
        <v>0</v>
      </c>
    </row>
    <row r="50" spans="2:17">
      <c r="C50" s="1" t="s">
        <v>52</v>
      </c>
      <c r="D50" t="s">
        <v>277</v>
      </c>
      <c r="E50">
        <v>1</v>
      </c>
      <c r="F50" t="str">
        <f t="shared" si="12"/>
        <v>MEDIUM</v>
      </c>
      <c r="G50">
        <f t="shared" si="9"/>
        <v>5.4</v>
      </c>
      <c r="H50">
        <f t="shared" si="10"/>
        <v>5.5483647999999999</v>
      </c>
      <c r="I50">
        <f t="shared" si="3"/>
        <v>1.1759999999999999</v>
      </c>
      <c r="J50">
        <f t="shared" si="11"/>
        <v>6.4429767187500007</v>
      </c>
      <c r="L50">
        <v>0.64600000000000002</v>
      </c>
      <c r="M50">
        <v>0.70399999999999996</v>
      </c>
      <c r="N50">
        <v>0.61</v>
      </c>
      <c r="O50">
        <v>0.27500000000000002</v>
      </c>
      <c r="P50">
        <v>0.27500000000000002</v>
      </c>
      <c r="Q50">
        <v>0.27500000000000002</v>
      </c>
    </row>
    <row r="51" spans="2:17">
      <c r="C51" s="1" t="s">
        <v>53</v>
      </c>
      <c r="D51" t="s">
        <v>278</v>
      </c>
      <c r="E51">
        <v>1</v>
      </c>
      <c r="F51" t="str">
        <f t="shared" si="12"/>
        <v>LOW</v>
      </c>
      <c r="G51">
        <f t="shared" si="9"/>
        <v>0.8</v>
      </c>
      <c r="H51">
        <f t="shared" si="10"/>
        <v>1.2442500000000001</v>
      </c>
      <c r="I51">
        <f t="shared" si="3"/>
        <v>1.1759999999999999</v>
      </c>
      <c r="J51">
        <f t="shared" si="11"/>
        <v>2.8627500000000001</v>
      </c>
      <c r="L51">
        <v>0.39500000000000002</v>
      </c>
      <c r="M51">
        <v>0.45</v>
      </c>
      <c r="N51">
        <v>0.35</v>
      </c>
      <c r="O51">
        <v>0</v>
      </c>
      <c r="P51">
        <v>0.27500000000000002</v>
      </c>
      <c r="Q51">
        <v>0</v>
      </c>
    </row>
    <row r="52" spans="2:17">
      <c r="C52" s="1" t="s">
        <v>54</v>
      </c>
      <c r="D52" t="s">
        <v>279</v>
      </c>
      <c r="E52">
        <v>1</v>
      </c>
      <c r="F52" t="str">
        <f t="shared" si="12"/>
        <v>MEDIUM</v>
      </c>
      <c r="G52">
        <f t="shared" si="9"/>
        <v>4.8</v>
      </c>
      <c r="H52">
        <f t="shared" si="10"/>
        <v>6.4579327999999991</v>
      </c>
      <c r="I52">
        <f t="shared" si="3"/>
        <v>1.1759999999999999</v>
      </c>
      <c r="J52">
        <f t="shared" si="11"/>
        <v>4.9382437499999998</v>
      </c>
      <c r="L52">
        <v>0.64600000000000002</v>
      </c>
      <c r="M52">
        <v>0.70399999999999996</v>
      </c>
      <c r="N52">
        <v>0.71</v>
      </c>
      <c r="O52">
        <v>0.27500000000000002</v>
      </c>
      <c r="P52">
        <v>0</v>
      </c>
      <c r="Q52">
        <v>0.27500000000000002</v>
      </c>
    </row>
    <row r="53" spans="2:17">
      <c r="C53" s="1" t="s">
        <v>60</v>
      </c>
      <c r="D53" t="s">
        <v>280</v>
      </c>
      <c r="E53">
        <v>1</v>
      </c>
      <c r="F53" t="str">
        <f t="shared" si="12"/>
        <v>CRITICAL</v>
      </c>
      <c r="G53">
        <f t="shared" si="9"/>
        <v>9.4</v>
      </c>
      <c r="H53">
        <f t="shared" si="10"/>
        <v>9.9967999999999986</v>
      </c>
      <c r="I53">
        <f t="shared" si="3"/>
        <v>1.1759999999999999</v>
      </c>
      <c r="J53">
        <f t="shared" si="11"/>
        <v>9.2066040000000005</v>
      </c>
      <c r="L53">
        <v>1</v>
      </c>
      <c r="M53">
        <v>0.70399999999999996</v>
      </c>
      <c r="N53">
        <v>0.71</v>
      </c>
      <c r="O53">
        <v>0.66</v>
      </c>
      <c r="P53">
        <v>0</v>
      </c>
      <c r="Q53">
        <v>0.66</v>
      </c>
    </row>
    <row r="54" spans="2:17">
      <c r="C54" s="1" t="s">
        <v>55</v>
      </c>
      <c r="D54" t="s">
        <v>281</v>
      </c>
      <c r="E54">
        <v>1</v>
      </c>
      <c r="F54" t="str">
        <f t="shared" si="12"/>
        <v>MEDIUM</v>
      </c>
      <c r="G54">
        <f t="shared" si="9"/>
        <v>4.8</v>
      </c>
      <c r="H54">
        <f t="shared" si="10"/>
        <v>6.4579327999999991</v>
      </c>
      <c r="I54">
        <f t="shared" si="3"/>
        <v>1.1759999999999999</v>
      </c>
      <c r="J54">
        <f t="shared" si="11"/>
        <v>4.9382437499999998</v>
      </c>
      <c r="L54">
        <v>0.64600000000000002</v>
      </c>
      <c r="M54">
        <v>0.70399999999999996</v>
      </c>
      <c r="N54">
        <v>0.71</v>
      </c>
      <c r="O54">
        <v>0.27500000000000002</v>
      </c>
      <c r="P54">
        <v>0</v>
      </c>
      <c r="Q54">
        <v>0.27500000000000002</v>
      </c>
    </row>
    <row r="55" spans="2:17">
      <c r="C55" s="1" t="s">
        <v>56</v>
      </c>
      <c r="D55" t="s">
        <v>282</v>
      </c>
      <c r="E55">
        <v>1</v>
      </c>
      <c r="F55" t="str">
        <f t="shared" si="12"/>
        <v>HIGH</v>
      </c>
      <c r="G55">
        <f t="shared" si="9"/>
        <v>7.8</v>
      </c>
      <c r="H55">
        <f t="shared" si="10"/>
        <v>6.4579327999999991</v>
      </c>
      <c r="I55">
        <f t="shared" si="3"/>
        <v>1.1759999999999999</v>
      </c>
      <c r="J55">
        <f t="shared" si="11"/>
        <v>9.2066040000000005</v>
      </c>
      <c r="L55">
        <v>0.64600000000000002</v>
      </c>
      <c r="M55">
        <v>0.70399999999999996</v>
      </c>
      <c r="N55">
        <v>0.71</v>
      </c>
      <c r="O55">
        <v>0.66</v>
      </c>
      <c r="P55">
        <v>0</v>
      </c>
      <c r="Q55">
        <v>0.66</v>
      </c>
    </row>
    <row r="56" spans="2:17">
      <c r="C56" s="1" t="s">
        <v>61</v>
      </c>
      <c r="D56" t="s">
        <v>283</v>
      </c>
      <c r="E56">
        <v>0</v>
      </c>
      <c r="F56" t="str">
        <f t="shared" si="12"/>
        <v>MEDIUM</v>
      </c>
      <c r="G56">
        <f t="shared" si="9"/>
        <v>6.2</v>
      </c>
      <c r="H56">
        <f t="shared" si="10"/>
        <v>3.1410400000000003</v>
      </c>
      <c r="I56">
        <f t="shared" si="3"/>
        <v>1.1759999999999999</v>
      </c>
      <c r="J56">
        <f t="shared" si="11"/>
        <v>9.2066040000000005</v>
      </c>
      <c r="L56">
        <v>0.39500000000000002</v>
      </c>
      <c r="M56">
        <v>0.56000000000000005</v>
      </c>
      <c r="N56">
        <v>0.71</v>
      </c>
      <c r="O56">
        <v>0.66</v>
      </c>
      <c r="P56">
        <v>0</v>
      </c>
      <c r="Q56">
        <v>0.66</v>
      </c>
    </row>
    <row r="57" spans="2:17">
      <c r="C57" s="1" t="s">
        <v>216</v>
      </c>
      <c r="D57" t="s">
        <v>284</v>
      </c>
      <c r="E57">
        <v>0</v>
      </c>
      <c r="F57" t="str">
        <f t="shared" si="12"/>
        <v>MEDIUM</v>
      </c>
      <c r="G57">
        <f t="shared" si="9"/>
        <v>5.5</v>
      </c>
      <c r="H57">
        <f t="shared" si="10"/>
        <v>1.5484</v>
      </c>
      <c r="I57">
        <f t="shared" si="3"/>
        <v>1.1759999999999999</v>
      </c>
      <c r="J57">
        <f t="shared" si="11"/>
        <v>9.2066040000000005</v>
      </c>
      <c r="L57">
        <v>0.39500000000000002</v>
      </c>
      <c r="M57">
        <v>0.56000000000000005</v>
      </c>
      <c r="N57">
        <v>0.35</v>
      </c>
      <c r="O57">
        <v>0.66</v>
      </c>
      <c r="P57">
        <v>0</v>
      </c>
      <c r="Q57">
        <v>0.66</v>
      </c>
    </row>
    <row r="58" spans="2:17">
      <c r="C58" s="1" t="s">
        <v>62</v>
      </c>
      <c r="D58" t="s">
        <v>285</v>
      </c>
      <c r="E58">
        <v>0</v>
      </c>
      <c r="F58" t="str">
        <f t="shared" si="12"/>
        <v>MEDIUM</v>
      </c>
      <c r="G58">
        <f t="shared" si="9"/>
        <v>4</v>
      </c>
      <c r="H58">
        <f t="shared" si="10"/>
        <v>4.927999999999999</v>
      </c>
      <c r="I58">
        <f t="shared" si="3"/>
        <v>1.1759999999999999</v>
      </c>
      <c r="J58">
        <f t="shared" si="11"/>
        <v>4.9382437499999998</v>
      </c>
      <c r="L58">
        <v>1</v>
      </c>
      <c r="M58">
        <v>0.70399999999999996</v>
      </c>
      <c r="N58">
        <v>0.35</v>
      </c>
      <c r="O58">
        <v>0.27500000000000002</v>
      </c>
      <c r="P58">
        <v>0</v>
      </c>
      <c r="Q58">
        <v>0.27500000000000002</v>
      </c>
    </row>
    <row r="59" spans="2:17">
      <c r="C59" s="1" t="s">
        <v>57</v>
      </c>
      <c r="D59" t="s">
        <v>286</v>
      </c>
      <c r="E59">
        <v>1</v>
      </c>
      <c r="F59" t="str">
        <f t="shared" si="12"/>
        <v>LOW</v>
      </c>
      <c r="G59">
        <f t="shared" si="9"/>
        <v>2.7</v>
      </c>
      <c r="H59">
        <f t="shared" si="10"/>
        <v>5.1369920000000002</v>
      </c>
      <c r="I59">
        <f t="shared" si="3"/>
        <v>1.1759999999999999</v>
      </c>
      <c r="J59">
        <f t="shared" si="11"/>
        <v>2.8627500000000001</v>
      </c>
      <c r="L59">
        <v>0.64600000000000002</v>
      </c>
      <c r="M59">
        <v>0.56000000000000005</v>
      </c>
      <c r="N59">
        <v>0.71</v>
      </c>
      <c r="O59">
        <v>0.27500000000000002</v>
      </c>
      <c r="P59">
        <v>0</v>
      </c>
      <c r="Q59">
        <v>0</v>
      </c>
    </row>
    <row r="60" spans="2:17">
      <c r="B60" t="s">
        <v>63</v>
      </c>
      <c r="C60" s="1">
        <v>1.3</v>
      </c>
    </row>
    <row r="61" spans="2:17">
      <c r="C61" s="1" t="s">
        <v>287</v>
      </c>
      <c r="D61" t="s">
        <v>293</v>
      </c>
      <c r="E61">
        <v>0</v>
      </c>
      <c r="F61" t="str">
        <f t="shared" si="12"/>
        <v>LOW</v>
      </c>
      <c r="G61">
        <f t="shared" ref="G61:G67" si="13">ROUND(((0.6*J61)+(0.4*H61)-1.5)*I61,1)</f>
        <v>2.7</v>
      </c>
      <c r="H61">
        <f t="shared" ref="H61:H67" si="14">20*L61*M61*N61</f>
        <v>5.1369920000000002</v>
      </c>
      <c r="I61">
        <f t="shared" si="3"/>
        <v>1.1759999999999999</v>
      </c>
      <c r="J61">
        <f t="shared" ref="J61:J67" si="15">10.41*(1-(1-O61)*(1-P61)*(1-Q61))</f>
        <v>2.8627500000000001</v>
      </c>
      <c r="L61">
        <v>0.64600000000000002</v>
      </c>
      <c r="M61">
        <v>0.56000000000000005</v>
      </c>
      <c r="N61">
        <v>0.71</v>
      </c>
      <c r="O61">
        <v>0</v>
      </c>
      <c r="P61">
        <v>0.27500000000000002</v>
      </c>
      <c r="Q61">
        <v>0</v>
      </c>
    </row>
    <row r="62" spans="2:17">
      <c r="C62" s="1" t="s">
        <v>288</v>
      </c>
      <c r="D62" t="s">
        <v>271</v>
      </c>
      <c r="E62">
        <v>1</v>
      </c>
      <c r="F62" t="str">
        <f t="shared" si="12"/>
        <v>MEDIUM</v>
      </c>
      <c r="G62">
        <f t="shared" si="13"/>
        <v>4.0999999999999996</v>
      </c>
      <c r="H62">
        <f t="shared" si="14"/>
        <v>5.1369920000000002</v>
      </c>
      <c r="I62">
        <f t="shared" si="3"/>
        <v>1.1759999999999999</v>
      </c>
      <c r="J62">
        <f t="shared" si="15"/>
        <v>4.9382437499999998</v>
      </c>
      <c r="L62">
        <v>0.64600000000000002</v>
      </c>
      <c r="M62">
        <v>0.56000000000000005</v>
      </c>
      <c r="N62">
        <v>0.71</v>
      </c>
      <c r="O62">
        <v>0.27500000000000002</v>
      </c>
      <c r="P62">
        <v>0.27500000000000002</v>
      </c>
      <c r="Q62">
        <v>0</v>
      </c>
    </row>
    <row r="63" spans="2:17">
      <c r="C63" s="1" t="s">
        <v>65</v>
      </c>
      <c r="D63" t="s">
        <v>64</v>
      </c>
      <c r="E63">
        <v>1</v>
      </c>
      <c r="F63" t="str">
        <f t="shared" si="12"/>
        <v>HIGH</v>
      </c>
      <c r="G63">
        <f t="shared" si="13"/>
        <v>7.4</v>
      </c>
      <c r="H63">
        <f t="shared" si="14"/>
        <v>4.4134720000000005</v>
      </c>
      <c r="I63">
        <f t="shared" si="3"/>
        <v>1.1759999999999999</v>
      </c>
      <c r="J63">
        <f t="shared" si="15"/>
        <v>10.00084536</v>
      </c>
      <c r="L63">
        <v>0.64600000000000002</v>
      </c>
      <c r="M63">
        <v>0.56000000000000005</v>
      </c>
      <c r="N63">
        <v>0.61</v>
      </c>
      <c r="O63">
        <v>0.66</v>
      </c>
      <c r="P63">
        <v>0.66</v>
      </c>
      <c r="Q63">
        <v>0.66</v>
      </c>
    </row>
    <row r="64" spans="2:17">
      <c r="C64" s="1" t="s">
        <v>289</v>
      </c>
      <c r="D64" t="s">
        <v>294</v>
      </c>
      <c r="E64">
        <v>1</v>
      </c>
      <c r="F64" t="str">
        <f t="shared" si="12"/>
        <v>MEDIUM</v>
      </c>
      <c r="G64">
        <f t="shared" si="13"/>
        <v>4</v>
      </c>
      <c r="H64">
        <f t="shared" si="14"/>
        <v>2.5323199999999999</v>
      </c>
      <c r="I64">
        <f t="shared" si="3"/>
        <v>1.1759999999999999</v>
      </c>
      <c r="J64">
        <f t="shared" si="15"/>
        <v>6.4429767187500007</v>
      </c>
      <c r="L64">
        <v>0.64600000000000002</v>
      </c>
      <c r="M64">
        <v>0.56000000000000005</v>
      </c>
      <c r="N64">
        <v>0.35</v>
      </c>
      <c r="O64">
        <v>0.27500000000000002</v>
      </c>
      <c r="P64">
        <v>0.27500000000000002</v>
      </c>
      <c r="Q64">
        <v>0.27500000000000002</v>
      </c>
    </row>
    <row r="65" spans="1:17">
      <c r="C65" s="1" t="s">
        <v>290</v>
      </c>
      <c r="D65" t="s">
        <v>295</v>
      </c>
      <c r="E65">
        <v>1</v>
      </c>
      <c r="F65" t="str">
        <f t="shared" si="12"/>
        <v>HIGH</v>
      </c>
      <c r="G65">
        <f t="shared" si="13"/>
        <v>7.3</v>
      </c>
      <c r="H65">
        <f t="shared" si="14"/>
        <v>5.5483647999999999</v>
      </c>
      <c r="I65">
        <f t="shared" si="3"/>
        <v>1.1759999999999999</v>
      </c>
      <c r="J65">
        <f t="shared" si="15"/>
        <v>9.2066040000000005</v>
      </c>
      <c r="L65">
        <v>0.64600000000000002</v>
      </c>
      <c r="M65">
        <v>0.70399999999999996</v>
      </c>
      <c r="N65">
        <v>0.61</v>
      </c>
      <c r="O65">
        <v>0.66</v>
      </c>
      <c r="P65">
        <v>0</v>
      </c>
      <c r="Q65">
        <v>0.66</v>
      </c>
    </row>
    <row r="66" spans="1:17">
      <c r="C66" s="1" t="s">
        <v>291</v>
      </c>
      <c r="D66" t="s">
        <v>296</v>
      </c>
      <c r="E66">
        <v>1</v>
      </c>
      <c r="F66" t="str">
        <f t="shared" si="12"/>
        <v>LOW</v>
      </c>
      <c r="G66">
        <f t="shared" si="13"/>
        <v>3.3</v>
      </c>
      <c r="H66">
        <f t="shared" si="14"/>
        <v>6.4579327999999991</v>
      </c>
      <c r="I66">
        <f t="shared" si="3"/>
        <v>1.1759999999999999</v>
      </c>
      <c r="J66">
        <f t="shared" si="15"/>
        <v>2.8627500000000001</v>
      </c>
      <c r="L66">
        <v>0.64600000000000002</v>
      </c>
      <c r="M66">
        <v>0.70399999999999996</v>
      </c>
      <c r="N66">
        <v>0.71</v>
      </c>
      <c r="O66">
        <v>0</v>
      </c>
      <c r="P66">
        <v>0.27500000000000002</v>
      </c>
      <c r="Q66">
        <v>0</v>
      </c>
    </row>
    <row r="67" spans="1:17">
      <c r="C67" s="1" t="s">
        <v>292</v>
      </c>
      <c r="D67" t="s">
        <v>297</v>
      </c>
      <c r="E67">
        <v>1</v>
      </c>
      <c r="F67" t="str">
        <f t="shared" si="12"/>
        <v>MEDIUM</v>
      </c>
      <c r="G67">
        <f t="shared" si="13"/>
        <v>4.8</v>
      </c>
      <c r="H67">
        <f t="shared" si="14"/>
        <v>6.4579327999999991</v>
      </c>
      <c r="I67">
        <f t="shared" si="3"/>
        <v>1.1759999999999999</v>
      </c>
      <c r="J67">
        <f t="shared" si="15"/>
        <v>4.9382437499999998</v>
      </c>
      <c r="L67">
        <v>0.64600000000000002</v>
      </c>
      <c r="M67">
        <v>0.70399999999999996</v>
      </c>
      <c r="N67">
        <v>0.71</v>
      </c>
      <c r="O67">
        <v>0.27500000000000002</v>
      </c>
      <c r="P67">
        <v>0.27500000000000002</v>
      </c>
      <c r="Q67">
        <v>0</v>
      </c>
    </row>
    <row r="68" spans="1:17">
      <c r="B68" t="s">
        <v>66</v>
      </c>
      <c r="C68" s="1">
        <v>1.4</v>
      </c>
    </row>
    <row r="69" spans="1:17">
      <c r="C69" s="1" t="s">
        <v>298</v>
      </c>
      <c r="D69" t="s">
        <v>271</v>
      </c>
      <c r="E69">
        <v>1</v>
      </c>
      <c r="F69" t="str">
        <f t="shared" si="12"/>
        <v>MEDIUM</v>
      </c>
      <c r="G69">
        <f t="shared" ref="G69:G70" si="16">ROUND(((0.6*J69)+(0.4*H69)-1.5)*I69,1)</f>
        <v>4.0999999999999996</v>
      </c>
      <c r="H69">
        <f t="shared" ref="H69:H70" si="17">20*L69*M69*N69</f>
        <v>5.1369920000000002</v>
      </c>
      <c r="I69">
        <f t="shared" si="3"/>
        <v>1.1759999999999999</v>
      </c>
      <c r="J69">
        <f t="shared" ref="J69:J70" si="18">10.41*(1-(1-O69)*(1-P69)*(1-Q69))</f>
        <v>4.9382437499999998</v>
      </c>
      <c r="L69">
        <v>0.64600000000000002</v>
      </c>
      <c r="M69">
        <v>0.56000000000000005</v>
      </c>
      <c r="N69">
        <v>0.71</v>
      </c>
      <c r="O69">
        <v>0.27500000000000002</v>
      </c>
      <c r="P69">
        <v>0.27500000000000002</v>
      </c>
      <c r="Q69">
        <v>0</v>
      </c>
    </row>
    <row r="70" spans="1:17">
      <c r="C70" s="1" t="s">
        <v>299</v>
      </c>
      <c r="D70" t="s">
        <v>297</v>
      </c>
      <c r="E70">
        <v>1</v>
      </c>
      <c r="F70" t="str">
        <f t="shared" si="12"/>
        <v>MEDIUM</v>
      </c>
      <c r="G70">
        <f t="shared" si="16"/>
        <v>4.8</v>
      </c>
      <c r="H70">
        <f t="shared" si="17"/>
        <v>6.4579327999999991</v>
      </c>
      <c r="I70">
        <f t="shared" si="3"/>
        <v>1.1759999999999999</v>
      </c>
      <c r="J70">
        <f t="shared" si="18"/>
        <v>4.9382437499999998</v>
      </c>
      <c r="L70">
        <v>0.64600000000000002</v>
      </c>
      <c r="M70">
        <v>0.70399999999999996</v>
      </c>
      <c r="N70">
        <v>0.71</v>
      </c>
      <c r="O70">
        <v>0.27500000000000002</v>
      </c>
      <c r="P70">
        <v>0.27500000000000002</v>
      </c>
      <c r="Q70">
        <v>0</v>
      </c>
    </row>
    <row r="71" spans="1:17">
      <c r="A71" t="s">
        <v>300</v>
      </c>
      <c r="C71" s="1">
        <v>2</v>
      </c>
    </row>
    <row r="72" spans="1:17">
      <c r="C72" s="1">
        <v>2.1</v>
      </c>
      <c r="D72" t="s">
        <v>301</v>
      </c>
      <c r="E72">
        <v>1</v>
      </c>
      <c r="F72" t="str">
        <f t="shared" si="12"/>
        <v>HIGH</v>
      </c>
      <c r="G72">
        <f t="shared" ref="G72:G78" si="19">ROUND(((0.6*J72)+(0.4*H72)-1.5)*I72,1)</f>
        <v>7.8</v>
      </c>
      <c r="H72">
        <f t="shared" ref="H72:H78" si="20">20*L72*M72*N72</f>
        <v>6.4579327999999991</v>
      </c>
      <c r="I72">
        <f t="shared" si="3"/>
        <v>1.1759999999999999</v>
      </c>
      <c r="J72">
        <f t="shared" ref="J72:J78" si="21">10.41*(1-(1-O72)*(1-P72)*(1-Q72))</f>
        <v>9.2066040000000005</v>
      </c>
      <c r="L72">
        <v>0.64600000000000002</v>
      </c>
      <c r="M72">
        <v>0.70399999999999996</v>
      </c>
      <c r="N72">
        <v>0.71</v>
      </c>
      <c r="O72">
        <v>0.66</v>
      </c>
      <c r="P72">
        <v>0</v>
      </c>
      <c r="Q72">
        <v>0.66</v>
      </c>
    </row>
    <row r="73" spans="1:17">
      <c r="C73" s="1">
        <v>2.2000000000000002</v>
      </c>
      <c r="D73" t="s">
        <v>302</v>
      </c>
      <c r="E73">
        <v>1</v>
      </c>
      <c r="F73" t="str">
        <f t="shared" si="12"/>
        <v>LOW</v>
      </c>
      <c r="G73">
        <f t="shared" si="19"/>
        <v>3.3</v>
      </c>
      <c r="H73">
        <f t="shared" si="20"/>
        <v>6.4579327999999991</v>
      </c>
      <c r="I73">
        <f t="shared" si="3"/>
        <v>1.1759999999999999</v>
      </c>
      <c r="J73">
        <f t="shared" si="21"/>
        <v>2.8627500000000001</v>
      </c>
      <c r="L73">
        <v>0.64600000000000002</v>
      </c>
      <c r="M73">
        <v>0.70399999999999996</v>
      </c>
      <c r="N73">
        <v>0.71</v>
      </c>
      <c r="O73">
        <v>0.27500000000000002</v>
      </c>
      <c r="P73">
        <v>0</v>
      </c>
      <c r="Q73">
        <v>0</v>
      </c>
    </row>
    <row r="74" spans="1:17">
      <c r="C74" s="1">
        <v>2.2999999999999998</v>
      </c>
      <c r="D74" t="s">
        <v>303</v>
      </c>
      <c r="E74">
        <v>1</v>
      </c>
      <c r="F74" t="str">
        <f t="shared" si="12"/>
        <v>LOW</v>
      </c>
      <c r="G74">
        <f t="shared" si="19"/>
        <v>3.3</v>
      </c>
      <c r="H74">
        <f t="shared" si="20"/>
        <v>6.4579327999999991</v>
      </c>
      <c r="I74">
        <f t="shared" si="3"/>
        <v>1.1759999999999999</v>
      </c>
      <c r="J74">
        <f t="shared" si="21"/>
        <v>2.8627500000000001</v>
      </c>
      <c r="L74">
        <v>0.64600000000000002</v>
      </c>
      <c r="M74">
        <v>0.70399999999999996</v>
      </c>
      <c r="N74">
        <v>0.71</v>
      </c>
      <c r="O74">
        <v>0.27500000000000002</v>
      </c>
      <c r="P74">
        <v>0</v>
      </c>
      <c r="Q74">
        <v>0</v>
      </c>
    </row>
    <row r="75" spans="1:17">
      <c r="C75" s="1">
        <v>2.4</v>
      </c>
      <c r="D75" t="s">
        <v>304</v>
      </c>
      <c r="E75">
        <v>1</v>
      </c>
      <c r="F75" t="str">
        <f t="shared" si="12"/>
        <v>HIGH</v>
      </c>
      <c r="G75">
        <f t="shared" si="19"/>
        <v>7.8</v>
      </c>
      <c r="H75">
        <f t="shared" si="20"/>
        <v>6.4579327999999991</v>
      </c>
      <c r="I75">
        <f t="shared" si="3"/>
        <v>1.1759999999999999</v>
      </c>
      <c r="J75">
        <f t="shared" si="21"/>
        <v>9.2066040000000005</v>
      </c>
      <c r="L75">
        <v>0.64600000000000002</v>
      </c>
      <c r="M75">
        <v>0.70399999999999996</v>
      </c>
      <c r="N75">
        <v>0.71</v>
      </c>
      <c r="O75">
        <v>0.66</v>
      </c>
      <c r="P75">
        <v>0</v>
      </c>
      <c r="Q75">
        <v>0.66</v>
      </c>
    </row>
    <row r="76" spans="1:17">
      <c r="C76" s="1">
        <v>2.5</v>
      </c>
      <c r="D76" t="s">
        <v>305</v>
      </c>
      <c r="E76">
        <v>1</v>
      </c>
      <c r="F76" t="str">
        <f t="shared" si="12"/>
        <v>HIGH</v>
      </c>
      <c r="G76">
        <f t="shared" si="19"/>
        <v>7.8</v>
      </c>
      <c r="H76">
        <f t="shared" si="20"/>
        <v>6.4579327999999991</v>
      </c>
      <c r="I76">
        <f t="shared" si="3"/>
        <v>1.1759999999999999</v>
      </c>
      <c r="J76">
        <f t="shared" si="21"/>
        <v>9.2066040000000005</v>
      </c>
      <c r="L76">
        <v>0.64600000000000002</v>
      </c>
      <c r="M76">
        <v>0.70399999999999996</v>
      </c>
      <c r="N76">
        <v>0.71</v>
      </c>
      <c r="O76">
        <v>0.66</v>
      </c>
      <c r="P76">
        <v>0</v>
      </c>
      <c r="Q76">
        <v>0.66</v>
      </c>
    </row>
    <row r="77" spans="1:17">
      <c r="C77" s="1">
        <v>2.6</v>
      </c>
      <c r="D77" t="s">
        <v>306</v>
      </c>
      <c r="E77">
        <v>1</v>
      </c>
      <c r="F77" t="str">
        <f t="shared" si="12"/>
        <v>HIGH</v>
      </c>
      <c r="G77">
        <f t="shared" si="19"/>
        <v>7.8</v>
      </c>
      <c r="H77">
        <f t="shared" si="20"/>
        <v>6.4579327999999991</v>
      </c>
      <c r="I77">
        <f t="shared" si="3"/>
        <v>1.1759999999999999</v>
      </c>
      <c r="J77">
        <f t="shared" si="21"/>
        <v>9.2066040000000005</v>
      </c>
      <c r="L77">
        <v>0.64600000000000002</v>
      </c>
      <c r="M77">
        <v>0.70399999999999996</v>
      </c>
      <c r="N77">
        <v>0.71</v>
      </c>
      <c r="O77">
        <v>0.66</v>
      </c>
      <c r="P77">
        <v>0</v>
      </c>
      <c r="Q77">
        <v>0.66</v>
      </c>
    </row>
    <row r="78" spans="1:17">
      <c r="C78" s="1">
        <v>2.7</v>
      </c>
      <c r="D78" t="s">
        <v>307</v>
      </c>
      <c r="E78">
        <v>0</v>
      </c>
      <c r="F78" t="str">
        <f t="shared" si="12"/>
        <v>MEDIUM</v>
      </c>
      <c r="G78">
        <f t="shared" si="19"/>
        <v>5.8</v>
      </c>
      <c r="H78">
        <f t="shared" si="20"/>
        <v>6.4579327999999991</v>
      </c>
      <c r="I78">
        <f t="shared" si="3"/>
        <v>1.1759999999999999</v>
      </c>
      <c r="J78">
        <f t="shared" si="21"/>
        <v>6.4429767187500007</v>
      </c>
      <c r="L78">
        <v>0.64600000000000002</v>
      </c>
      <c r="M78">
        <v>0.70399999999999996</v>
      </c>
      <c r="N78">
        <v>0.71</v>
      </c>
      <c r="O78">
        <v>0.27500000000000002</v>
      </c>
      <c r="P78">
        <v>0.27500000000000002</v>
      </c>
      <c r="Q78">
        <v>0.27500000000000002</v>
      </c>
    </row>
    <row r="79" spans="1:17">
      <c r="A79" t="s">
        <v>308</v>
      </c>
      <c r="C79" s="1">
        <v>3</v>
      </c>
    </row>
    <row r="80" spans="1:17">
      <c r="B80" t="s">
        <v>309</v>
      </c>
      <c r="C80" s="1">
        <v>3.1</v>
      </c>
    </row>
    <row r="81" spans="1:17">
      <c r="C81" s="1" t="s">
        <v>310</v>
      </c>
      <c r="D81" t="s">
        <v>314</v>
      </c>
      <c r="E81">
        <v>0</v>
      </c>
      <c r="F81" t="str">
        <f t="shared" ref="F81:F83" si="22">IF(G81=0, "NONE", IF(G81&lt;4, "LOW", IF(G81&lt;7, "MEDIUM", IF(G81&lt;9, "HIGH", "CRITICAL"))))</f>
        <v>MEDIUM</v>
      </c>
      <c r="G81">
        <f t="shared" ref="G81:G83" si="23">ROUND(((0.6*J81)+(0.4*H81)-1.5)*I81,1)</f>
        <v>5</v>
      </c>
      <c r="H81">
        <f t="shared" ref="H81:H83" si="24">20*L81*M81*N81</f>
        <v>9.9967999999999986</v>
      </c>
      <c r="I81">
        <f t="shared" ref="I81:I83" si="25">IF(J81=0, 0, 1.176)</f>
        <v>1.1759999999999999</v>
      </c>
      <c r="J81">
        <f t="shared" ref="J81:J83" si="26">10.41*(1-(1-O81)*(1-P81)*(1-Q81))</f>
        <v>2.8627500000000001</v>
      </c>
      <c r="L81">
        <v>1</v>
      </c>
      <c r="M81">
        <v>0.70399999999999996</v>
      </c>
      <c r="N81">
        <v>0.71</v>
      </c>
      <c r="O81">
        <v>0.27500000000000002</v>
      </c>
      <c r="P81">
        <v>0</v>
      </c>
      <c r="Q81">
        <v>0</v>
      </c>
    </row>
    <row r="82" spans="1:17">
      <c r="C82" s="1" t="s">
        <v>311</v>
      </c>
      <c r="D82" t="s">
        <v>315</v>
      </c>
      <c r="E82">
        <v>0</v>
      </c>
      <c r="F82" t="str">
        <f t="shared" si="22"/>
        <v>MEDIUM</v>
      </c>
      <c r="G82">
        <f t="shared" si="23"/>
        <v>5</v>
      </c>
      <c r="H82">
        <f t="shared" si="24"/>
        <v>9.9967999999999986</v>
      </c>
      <c r="I82">
        <f t="shared" si="25"/>
        <v>1.1759999999999999</v>
      </c>
      <c r="J82">
        <f t="shared" si="26"/>
        <v>2.8627500000000001</v>
      </c>
      <c r="L82">
        <v>1</v>
      </c>
      <c r="M82">
        <v>0.70399999999999996</v>
      </c>
      <c r="N82">
        <v>0.71</v>
      </c>
      <c r="O82">
        <v>0.27500000000000002</v>
      </c>
      <c r="P82">
        <v>0</v>
      </c>
      <c r="Q82">
        <v>0</v>
      </c>
    </row>
    <row r="83" spans="1:17">
      <c r="C83" s="1" t="s">
        <v>312</v>
      </c>
      <c r="D83" t="s">
        <v>316</v>
      </c>
      <c r="E83">
        <v>0</v>
      </c>
      <c r="F83" t="str">
        <f t="shared" si="22"/>
        <v>MEDIUM</v>
      </c>
      <c r="G83">
        <f t="shared" si="23"/>
        <v>5</v>
      </c>
      <c r="H83">
        <f t="shared" si="24"/>
        <v>9.9967999999999986</v>
      </c>
      <c r="I83">
        <f t="shared" si="25"/>
        <v>1.1759999999999999</v>
      </c>
      <c r="J83">
        <f t="shared" si="26"/>
        <v>2.8627500000000001</v>
      </c>
      <c r="L83">
        <v>1</v>
      </c>
      <c r="M83">
        <v>0.70399999999999996</v>
      </c>
      <c r="N83">
        <v>0.71</v>
      </c>
      <c r="O83">
        <v>0.27500000000000002</v>
      </c>
      <c r="P83">
        <v>0</v>
      </c>
      <c r="Q83">
        <v>0</v>
      </c>
    </row>
    <row r="84" spans="1:17">
      <c r="B84" t="s">
        <v>5</v>
      </c>
      <c r="C84" s="1">
        <v>3.2</v>
      </c>
    </row>
    <row r="85" spans="1:17">
      <c r="C85" s="1" t="s">
        <v>34</v>
      </c>
      <c r="D85" t="s">
        <v>317</v>
      </c>
      <c r="E85">
        <v>0</v>
      </c>
      <c r="F85" t="str">
        <f t="shared" ref="F85:F86" si="27">IF(G85=0, "NONE", IF(G85&lt;4, "LOW", IF(G85&lt;7, "MEDIUM", IF(G85&lt;9, "HIGH", "CRITICAL"))))</f>
        <v>NONE</v>
      </c>
      <c r="G85">
        <f t="shared" ref="G85:G86" si="28">ROUND(((0.6*J85)+(0.4*H85)-1.5)*I85,1)</f>
        <v>0</v>
      </c>
      <c r="H85">
        <f t="shared" ref="H85:H86" si="29">20*L85*M85*N85</f>
        <v>3.9487360000000002</v>
      </c>
      <c r="I85">
        <f t="shared" ref="I85:I86" si="30">IF(J85=0, 0, 1.176)</f>
        <v>0</v>
      </c>
      <c r="J85">
        <f t="shared" ref="J85:J86" si="31">10.41*(1-(1-O85)*(1-P85)*(1-Q85))</f>
        <v>0</v>
      </c>
      <c r="L85">
        <v>0.39500000000000002</v>
      </c>
      <c r="M85">
        <v>0.70399999999999996</v>
      </c>
      <c r="N85">
        <v>0.71</v>
      </c>
      <c r="O85">
        <v>0</v>
      </c>
      <c r="P85">
        <v>0</v>
      </c>
      <c r="Q85">
        <v>0</v>
      </c>
    </row>
    <row r="86" spans="1:17">
      <c r="C86" s="1" t="s">
        <v>313</v>
      </c>
      <c r="D86" t="s">
        <v>318</v>
      </c>
      <c r="E86">
        <v>0</v>
      </c>
      <c r="F86" t="str">
        <f t="shared" si="27"/>
        <v>NONE</v>
      </c>
      <c r="G86">
        <f t="shared" si="28"/>
        <v>0</v>
      </c>
      <c r="H86">
        <f t="shared" si="29"/>
        <v>3.9487360000000002</v>
      </c>
      <c r="I86">
        <f t="shared" si="30"/>
        <v>0</v>
      </c>
      <c r="J86">
        <f t="shared" si="31"/>
        <v>0</v>
      </c>
      <c r="L86">
        <v>0.39500000000000002</v>
      </c>
      <c r="M86">
        <v>0.70399999999999996</v>
      </c>
      <c r="N86">
        <v>0.71</v>
      </c>
      <c r="O86">
        <v>0</v>
      </c>
      <c r="P86">
        <v>0</v>
      </c>
      <c r="Q86">
        <v>0</v>
      </c>
    </row>
    <row r="87" spans="1:17">
      <c r="A87" t="s">
        <v>6</v>
      </c>
      <c r="C87" s="1">
        <v>4</v>
      </c>
    </row>
    <row r="88" spans="1:17">
      <c r="B88" t="s">
        <v>319</v>
      </c>
      <c r="C88" s="1">
        <v>4.0999999999999996</v>
      </c>
    </row>
    <row r="89" spans="1:17">
      <c r="C89" s="1" t="s">
        <v>320</v>
      </c>
      <c r="D89" t="s">
        <v>330</v>
      </c>
      <c r="E89">
        <v>1</v>
      </c>
      <c r="F89" t="str">
        <f t="shared" ref="F89:F98" si="32">IF(G89=0, "NONE", IF(G89&lt;4, "LOW", IF(G89&lt;7, "MEDIUM", IF(G89&lt;9, "HIGH", "CRITICAL"))))</f>
        <v>LOW</v>
      </c>
      <c r="G89">
        <f t="shared" ref="G89:G98" si="33">ROUND(((0.6*J89)+(0.4*H89)-1.5)*I89,1)</f>
        <v>3</v>
      </c>
      <c r="H89">
        <f t="shared" ref="H89:H98" si="34">20*L89*M89*N89</f>
        <v>2.6986400000000001</v>
      </c>
      <c r="I89">
        <f t="shared" ref="I89:I98" si="35">IF(J89=0, 0, 1.176)</f>
        <v>1.1759999999999999</v>
      </c>
      <c r="J89">
        <f t="shared" ref="J89:J98" si="36">10.41*(1-(1-O89)*(1-P89)*(1-Q89))</f>
        <v>4.9382437499999998</v>
      </c>
      <c r="L89">
        <v>0.39500000000000002</v>
      </c>
      <c r="M89">
        <v>0.56000000000000005</v>
      </c>
      <c r="N89">
        <v>0.61</v>
      </c>
      <c r="O89">
        <v>0.27500000000000002</v>
      </c>
      <c r="P89">
        <v>0</v>
      </c>
      <c r="Q89">
        <v>0.27500000000000002</v>
      </c>
    </row>
    <row r="90" spans="1:17">
      <c r="C90" s="1" t="s">
        <v>321</v>
      </c>
      <c r="D90" t="s">
        <v>331</v>
      </c>
      <c r="E90">
        <v>1</v>
      </c>
      <c r="F90" t="str">
        <f t="shared" si="32"/>
        <v>LOW</v>
      </c>
      <c r="G90">
        <f t="shared" si="33"/>
        <v>3</v>
      </c>
      <c r="H90">
        <f t="shared" si="34"/>
        <v>2.6986400000000001</v>
      </c>
      <c r="I90">
        <f t="shared" si="35"/>
        <v>1.1759999999999999</v>
      </c>
      <c r="J90">
        <f t="shared" si="36"/>
        <v>4.9382437499999998</v>
      </c>
      <c r="L90">
        <v>0.39500000000000002</v>
      </c>
      <c r="M90">
        <v>0.56000000000000005</v>
      </c>
      <c r="N90">
        <v>0.61</v>
      </c>
      <c r="O90">
        <v>0.27500000000000002</v>
      </c>
      <c r="P90">
        <v>0</v>
      </c>
      <c r="Q90">
        <v>0.27500000000000002</v>
      </c>
    </row>
    <row r="91" spans="1:17">
      <c r="C91" s="1" t="s">
        <v>322</v>
      </c>
      <c r="D91" t="s">
        <v>332</v>
      </c>
      <c r="E91">
        <v>0</v>
      </c>
      <c r="F91" t="str">
        <f t="shared" si="32"/>
        <v>LOW</v>
      </c>
      <c r="G91">
        <f t="shared" si="33"/>
        <v>3</v>
      </c>
      <c r="H91">
        <f t="shared" si="34"/>
        <v>2.6986400000000001</v>
      </c>
      <c r="I91">
        <f t="shared" si="35"/>
        <v>1.1759999999999999</v>
      </c>
      <c r="J91">
        <f t="shared" si="36"/>
        <v>4.9382437499999998</v>
      </c>
      <c r="L91">
        <v>0.39500000000000002</v>
      </c>
      <c r="M91">
        <v>0.56000000000000005</v>
      </c>
      <c r="N91">
        <v>0.61</v>
      </c>
      <c r="O91">
        <v>0.27500000000000002</v>
      </c>
      <c r="P91">
        <v>0</v>
      </c>
      <c r="Q91">
        <v>0.27500000000000002</v>
      </c>
    </row>
    <row r="92" spans="1:17">
      <c r="C92" s="1" t="s">
        <v>323</v>
      </c>
      <c r="D92" t="s">
        <v>333</v>
      </c>
      <c r="E92">
        <v>0</v>
      </c>
      <c r="F92" t="str">
        <f t="shared" si="32"/>
        <v>LOW</v>
      </c>
      <c r="G92">
        <f t="shared" si="33"/>
        <v>3</v>
      </c>
      <c r="H92">
        <f t="shared" si="34"/>
        <v>2.6986400000000001</v>
      </c>
      <c r="I92">
        <f t="shared" si="35"/>
        <v>1.1759999999999999</v>
      </c>
      <c r="J92">
        <f t="shared" si="36"/>
        <v>4.9382437499999998</v>
      </c>
      <c r="L92">
        <v>0.39500000000000002</v>
      </c>
      <c r="M92">
        <v>0.56000000000000005</v>
      </c>
      <c r="N92">
        <v>0.61</v>
      </c>
      <c r="O92">
        <v>0.27500000000000002</v>
      </c>
      <c r="P92">
        <v>0</v>
      </c>
      <c r="Q92">
        <v>0.27500000000000002</v>
      </c>
    </row>
    <row r="93" spans="1:17">
      <c r="C93" s="1" t="s">
        <v>324</v>
      </c>
      <c r="D93" t="s">
        <v>334</v>
      </c>
      <c r="E93">
        <v>1</v>
      </c>
      <c r="F93" t="str">
        <f t="shared" si="32"/>
        <v>LOW</v>
      </c>
      <c r="G93">
        <f t="shared" si="33"/>
        <v>3</v>
      </c>
      <c r="H93">
        <f t="shared" si="34"/>
        <v>2.6986400000000001</v>
      </c>
      <c r="I93">
        <f t="shared" si="35"/>
        <v>1.1759999999999999</v>
      </c>
      <c r="J93">
        <f t="shared" si="36"/>
        <v>4.9382437499999998</v>
      </c>
      <c r="L93">
        <v>0.39500000000000002</v>
      </c>
      <c r="M93">
        <v>0.56000000000000005</v>
      </c>
      <c r="N93">
        <v>0.61</v>
      </c>
      <c r="O93">
        <v>0.27500000000000002</v>
      </c>
      <c r="P93">
        <v>0</v>
      </c>
      <c r="Q93">
        <v>0.27500000000000002</v>
      </c>
    </row>
    <row r="94" spans="1:17">
      <c r="C94" s="1" t="s">
        <v>325</v>
      </c>
      <c r="D94" t="s">
        <v>335</v>
      </c>
      <c r="E94">
        <v>1</v>
      </c>
      <c r="F94" t="str">
        <f t="shared" si="32"/>
        <v>LOW</v>
      </c>
      <c r="G94">
        <f t="shared" si="33"/>
        <v>3</v>
      </c>
      <c r="H94">
        <f t="shared" si="34"/>
        <v>2.6986400000000001</v>
      </c>
      <c r="I94">
        <f t="shared" si="35"/>
        <v>1.1759999999999999</v>
      </c>
      <c r="J94">
        <f t="shared" si="36"/>
        <v>4.9382437499999998</v>
      </c>
      <c r="L94">
        <v>0.39500000000000002</v>
      </c>
      <c r="M94">
        <v>0.56000000000000005</v>
      </c>
      <c r="N94">
        <v>0.61</v>
      </c>
      <c r="O94">
        <v>0.27500000000000002</v>
      </c>
      <c r="P94">
        <v>0</v>
      </c>
      <c r="Q94">
        <v>0.27500000000000002</v>
      </c>
    </row>
    <row r="95" spans="1:17">
      <c r="C95" s="1" t="s">
        <v>326</v>
      </c>
      <c r="D95" t="s">
        <v>336</v>
      </c>
      <c r="E95">
        <v>0</v>
      </c>
      <c r="F95" t="str">
        <f t="shared" si="32"/>
        <v>LOW</v>
      </c>
      <c r="G95">
        <f t="shared" si="33"/>
        <v>1.5</v>
      </c>
      <c r="H95">
        <f t="shared" si="34"/>
        <v>2.6986400000000001</v>
      </c>
      <c r="I95">
        <f t="shared" si="35"/>
        <v>1.1759999999999999</v>
      </c>
      <c r="J95">
        <f t="shared" si="36"/>
        <v>2.8627500000000001</v>
      </c>
      <c r="L95">
        <v>0.39500000000000002</v>
      </c>
      <c r="M95">
        <v>0.56000000000000005</v>
      </c>
      <c r="N95">
        <v>0.61</v>
      </c>
      <c r="O95">
        <v>0</v>
      </c>
      <c r="P95">
        <v>0</v>
      </c>
      <c r="Q95">
        <v>0.27500000000000002</v>
      </c>
    </row>
    <row r="96" spans="1:17">
      <c r="C96" s="1" t="s">
        <v>327</v>
      </c>
      <c r="D96" t="s">
        <v>337</v>
      </c>
      <c r="E96">
        <v>0</v>
      </c>
      <c r="F96" t="str">
        <f t="shared" si="32"/>
        <v>LOW</v>
      </c>
      <c r="G96">
        <f t="shared" si="33"/>
        <v>3</v>
      </c>
      <c r="H96">
        <f t="shared" si="34"/>
        <v>2.6986400000000001</v>
      </c>
      <c r="I96">
        <f t="shared" si="35"/>
        <v>1.1759999999999999</v>
      </c>
      <c r="J96">
        <f t="shared" si="36"/>
        <v>4.9382437499999998</v>
      </c>
      <c r="L96">
        <v>0.39500000000000002</v>
      </c>
      <c r="M96">
        <v>0.56000000000000005</v>
      </c>
      <c r="N96">
        <v>0.61</v>
      </c>
      <c r="O96">
        <v>0.27500000000000002</v>
      </c>
      <c r="P96">
        <v>0</v>
      </c>
      <c r="Q96">
        <v>0.27500000000000002</v>
      </c>
    </row>
    <row r="97" spans="2:17">
      <c r="C97" s="1" t="s">
        <v>328</v>
      </c>
      <c r="D97" t="s">
        <v>338</v>
      </c>
      <c r="E97">
        <v>1</v>
      </c>
      <c r="F97" t="str">
        <f t="shared" si="32"/>
        <v>LOW</v>
      </c>
      <c r="G97">
        <f t="shared" si="33"/>
        <v>3</v>
      </c>
      <c r="H97">
        <f t="shared" si="34"/>
        <v>2.6986400000000001</v>
      </c>
      <c r="I97">
        <f t="shared" si="35"/>
        <v>1.1759999999999999</v>
      </c>
      <c r="J97">
        <f t="shared" si="36"/>
        <v>4.9382437499999998</v>
      </c>
      <c r="L97">
        <v>0.39500000000000002</v>
      </c>
      <c r="M97">
        <v>0.56000000000000005</v>
      </c>
      <c r="N97">
        <v>0.61</v>
      </c>
      <c r="O97">
        <v>0.27500000000000002</v>
      </c>
      <c r="P97">
        <v>0</v>
      </c>
      <c r="Q97">
        <v>0.27500000000000002</v>
      </c>
    </row>
    <row r="98" spans="2:17">
      <c r="C98" s="1" t="s">
        <v>329</v>
      </c>
      <c r="D98" t="s">
        <v>339</v>
      </c>
      <c r="E98">
        <v>1</v>
      </c>
      <c r="F98" t="str">
        <f t="shared" si="32"/>
        <v>LOW</v>
      </c>
      <c r="G98">
        <f t="shared" si="33"/>
        <v>3</v>
      </c>
      <c r="H98">
        <f t="shared" si="34"/>
        <v>2.6986400000000001</v>
      </c>
      <c r="I98">
        <f t="shared" si="35"/>
        <v>1.1759999999999999</v>
      </c>
      <c r="J98">
        <f t="shared" si="36"/>
        <v>4.9382437499999998</v>
      </c>
      <c r="L98">
        <v>0.39500000000000002</v>
      </c>
      <c r="M98">
        <v>0.56000000000000005</v>
      </c>
      <c r="N98">
        <v>0.61</v>
      </c>
      <c r="O98">
        <v>0.27500000000000002</v>
      </c>
      <c r="P98">
        <v>0</v>
      </c>
      <c r="Q98">
        <v>0.27500000000000002</v>
      </c>
    </row>
    <row r="99" spans="2:17">
      <c r="B99" t="s">
        <v>7</v>
      </c>
      <c r="C99" s="1">
        <v>4.2</v>
      </c>
    </row>
    <row r="100" spans="2:17">
      <c r="C100" s="1" t="s">
        <v>340</v>
      </c>
      <c r="D100" t="s">
        <v>257</v>
      </c>
      <c r="E100">
        <v>1</v>
      </c>
      <c r="F100" t="str">
        <f t="shared" ref="F100:F115" si="37">IF(G100=0, "NONE", IF(G100&lt;4, "LOW", IF(G100&lt;7, "MEDIUM", IF(G100&lt;9, "HIGH", "CRITICAL"))))</f>
        <v>HIGH</v>
      </c>
      <c r="G100">
        <f t="shared" ref="G100:G104" si="38">ROUND(((0.6*J100)+(0.4*H100)-1.5)*I100,1)</f>
        <v>7.8</v>
      </c>
      <c r="H100">
        <f t="shared" ref="H100:H104" si="39">20*L100*M100*N100</f>
        <v>9.9967999999999986</v>
      </c>
      <c r="I100">
        <f t="shared" ref="I100:I115" si="40">IF(J100=0, 0, 1.176)</f>
        <v>1.1759999999999999</v>
      </c>
      <c r="J100">
        <f t="shared" ref="J100:J104" si="41">10.41*(1-(1-O100)*(1-P100)*(1-Q100))</f>
        <v>6.8706000000000005</v>
      </c>
      <c r="L100">
        <v>1</v>
      </c>
      <c r="M100">
        <v>0.70399999999999996</v>
      </c>
      <c r="N100">
        <v>0.71</v>
      </c>
      <c r="O100">
        <v>0.66</v>
      </c>
      <c r="P100">
        <v>0</v>
      </c>
      <c r="Q100">
        <v>0</v>
      </c>
    </row>
    <row r="101" spans="2:17">
      <c r="C101" s="1" t="s">
        <v>341</v>
      </c>
      <c r="D101" t="s">
        <v>262</v>
      </c>
      <c r="E101">
        <v>1</v>
      </c>
      <c r="F101" t="str">
        <f t="shared" si="37"/>
        <v>CRITICAL</v>
      </c>
      <c r="G101">
        <f t="shared" si="38"/>
        <v>10</v>
      </c>
      <c r="H101">
        <f t="shared" si="39"/>
        <v>9.9967999999999986</v>
      </c>
      <c r="I101">
        <f t="shared" si="40"/>
        <v>1.1759999999999999</v>
      </c>
      <c r="J101">
        <f t="shared" si="41"/>
        <v>10.00084536</v>
      </c>
      <c r="L101">
        <v>1</v>
      </c>
      <c r="M101">
        <v>0.70399999999999996</v>
      </c>
      <c r="N101">
        <v>0.71</v>
      </c>
      <c r="O101">
        <v>0.66</v>
      </c>
      <c r="P101">
        <v>0.66</v>
      </c>
      <c r="Q101">
        <v>0.66</v>
      </c>
    </row>
    <row r="102" spans="2:17">
      <c r="C102" s="1" t="s">
        <v>342</v>
      </c>
      <c r="D102" t="s">
        <v>281</v>
      </c>
      <c r="E102">
        <v>1</v>
      </c>
      <c r="F102" t="str">
        <f t="shared" si="37"/>
        <v>LOW</v>
      </c>
      <c r="G102">
        <f t="shared" si="38"/>
        <v>3.8</v>
      </c>
      <c r="H102">
        <f t="shared" si="39"/>
        <v>4.4134720000000005</v>
      </c>
      <c r="I102">
        <f t="shared" si="40"/>
        <v>1.1759999999999999</v>
      </c>
      <c r="J102">
        <f t="shared" si="41"/>
        <v>4.9382437499999998</v>
      </c>
      <c r="L102">
        <v>0.64600000000000002</v>
      </c>
      <c r="M102">
        <v>0.56000000000000005</v>
      </c>
      <c r="N102">
        <v>0.61</v>
      </c>
      <c r="O102">
        <v>0.27500000000000002</v>
      </c>
      <c r="P102">
        <v>0</v>
      </c>
      <c r="Q102">
        <v>0.27500000000000002</v>
      </c>
    </row>
    <row r="103" spans="2:17">
      <c r="C103" s="1" t="s">
        <v>343</v>
      </c>
      <c r="D103" t="s">
        <v>354</v>
      </c>
      <c r="E103">
        <v>0</v>
      </c>
      <c r="F103" t="str">
        <f t="shared" si="37"/>
        <v>LOW</v>
      </c>
      <c r="G103">
        <f t="shared" si="38"/>
        <v>3.3</v>
      </c>
      <c r="H103">
        <f t="shared" si="39"/>
        <v>6.4579327999999991</v>
      </c>
      <c r="I103">
        <f t="shared" si="40"/>
        <v>1.1759999999999999</v>
      </c>
      <c r="J103">
        <f t="shared" si="41"/>
        <v>2.8627500000000001</v>
      </c>
      <c r="L103">
        <v>0.64600000000000002</v>
      </c>
      <c r="M103">
        <v>0.70399999999999996</v>
      </c>
      <c r="N103">
        <v>0.71</v>
      </c>
      <c r="O103">
        <v>0.27500000000000002</v>
      </c>
      <c r="P103">
        <v>0</v>
      </c>
      <c r="Q103">
        <v>0</v>
      </c>
    </row>
    <row r="104" spans="2:17">
      <c r="C104" s="1" t="s">
        <v>344</v>
      </c>
      <c r="D104" t="s">
        <v>355</v>
      </c>
      <c r="E104">
        <v>0</v>
      </c>
      <c r="F104" t="str">
        <f t="shared" si="37"/>
        <v>HIGH</v>
      </c>
      <c r="G104">
        <f t="shared" si="38"/>
        <v>7.8</v>
      </c>
      <c r="H104">
        <f t="shared" si="39"/>
        <v>9.9967999999999986</v>
      </c>
      <c r="I104">
        <f t="shared" si="40"/>
        <v>1.1759999999999999</v>
      </c>
      <c r="J104">
        <f t="shared" si="41"/>
        <v>6.8706000000000005</v>
      </c>
      <c r="L104">
        <v>1</v>
      </c>
      <c r="M104">
        <v>0.70399999999999996</v>
      </c>
      <c r="N104">
        <v>0.71</v>
      </c>
      <c r="O104">
        <v>0</v>
      </c>
      <c r="P104">
        <v>0.66</v>
      </c>
      <c r="Q104">
        <v>0</v>
      </c>
    </row>
    <row r="105" spans="2:17">
      <c r="C105" s="1" t="s">
        <v>345</v>
      </c>
      <c r="D105" t="s">
        <v>356</v>
      </c>
      <c r="E105">
        <v>1</v>
      </c>
      <c r="F105" t="str">
        <f t="shared" si="37"/>
        <v>LOW</v>
      </c>
      <c r="G105">
        <f t="shared" ref="G105:G113" si="42">ROUND(((0.6*J105)+(0.4*H105)-1.5)*I105,1)</f>
        <v>3.5</v>
      </c>
      <c r="H105">
        <f t="shared" ref="H105:H113" si="43">20*L105*M105*N105</f>
        <v>6.8320000000000007</v>
      </c>
      <c r="I105">
        <f t="shared" si="40"/>
        <v>1.1759999999999999</v>
      </c>
      <c r="J105">
        <f t="shared" ref="J105:J113" si="44">10.41*(1-(1-O105)*(1-P105)*(1-Q105))</f>
        <v>2.8627500000000001</v>
      </c>
      <c r="L105">
        <v>1</v>
      </c>
      <c r="M105">
        <v>0.56000000000000005</v>
      </c>
      <c r="N105">
        <v>0.61</v>
      </c>
      <c r="O105">
        <v>0</v>
      </c>
      <c r="P105">
        <v>0.27500000000000002</v>
      </c>
      <c r="Q105">
        <v>0</v>
      </c>
    </row>
    <row r="106" spans="2:17">
      <c r="C106" s="1" t="s">
        <v>346</v>
      </c>
      <c r="D106" t="s">
        <v>357</v>
      </c>
      <c r="E106">
        <v>0</v>
      </c>
      <c r="F106" t="str">
        <f t="shared" si="37"/>
        <v>MEDIUM</v>
      </c>
      <c r="G106">
        <f t="shared" si="42"/>
        <v>4.5999999999999996</v>
      </c>
      <c r="H106">
        <f t="shared" si="43"/>
        <v>3.9487360000000002</v>
      </c>
      <c r="I106">
        <f t="shared" si="40"/>
        <v>1.1759999999999999</v>
      </c>
      <c r="J106">
        <f t="shared" si="44"/>
        <v>6.4429767187500007</v>
      </c>
      <c r="L106">
        <v>0.39500000000000002</v>
      </c>
      <c r="M106">
        <v>0.70399999999999996</v>
      </c>
      <c r="N106">
        <v>0.71</v>
      </c>
      <c r="O106">
        <v>0.27500000000000002</v>
      </c>
      <c r="P106">
        <v>0.27500000000000002</v>
      </c>
      <c r="Q106">
        <v>0.27500000000000002</v>
      </c>
    </row>
    <row r="107" spans="2:17">
      <c r="C107" s="1" t="s">
        <v>347</v>
      </c>
      <c r="D107" t="s">
        <v>358</v>
      </c>
      <c r="E107">
        <v>0</v>
      </c>
      <c r="F107" t="str">
        <f t="shared" si="37"/>
        <v>LOW</v>
      </c>
      <c r="G107">
        <f t="shared" si="42"/>
        <v>3.3</v>
      </c>
      <c r="H107">
        <f t="shared" si="43"/>
        <v>6.4579327999999991</v>
      </c>
      <c r="I107">
        <f t="shared" si="40"/>
        <v>1.1759999999999999</v>
      </c>
      <c r="J107">
        <f t="shared" si="44"/>
        <v>2.8627500000000001</v>
      </c>
      <c r="L107">
        <v>0.64600000000000002</v>
      </c>
      <c r="M107">
        <v>0.70399999999999996</v>
      </c>
      <c r="N107">
        <v>0.71</v>
      </c>
      <c r="O107">
        <v>0</v>
      </c>
      <c r="P107">
        <v>0.27500000000000002</v>
      </c>
      <c r="Q107">
        <v>0</v>
      </c>
    </row>
    <row r="108" spans="2:17">
      <c r="C108" s="1" t="s">
        <v>348</v>
      </c>
      <c r="D108" t="s">
        <v>280</v>
      </c>
      <c r="E108">
        <v>0</v>
      </c>
      <c r="F108" t="str">
        <f t="shared" si="37"/>
        <v>CRITICAL</v>
      </c>
      <c r="G108">
        <f t="shared" si="42"/>
        <v>9.4</v>
      </c>
      <c r="H108">
        <f t="shared" si="43"/>
        <v>9.9967999999999986</v>
      </c>
      <c r="I108">
        <f t="shared" si="40"/>
        <v>1.1759999999999999</v>
      </c>
      <c r="J108">
        <f t="shared" si="44"/>
        <v>9.2066040000000005</v>
      </c>
      <c r="L108">
        <v>1</v>
      </c>
      <c r="M108">
        <v>0.70399999999999996</v>
      </c>
      <c r="N108">
        <v>0.71</v>
      </c>
      <c r="O108">
        <v>0.66</v>
      </c>
      <c r="P108">
        <v>0</v>
      </c>
      <c r="Q108">
        <v>0.66</v>
      </c>
    </row>
    <row r="109" spans="2:17">
      <c r="C109" s="1" t="s">
        <v>349</v>
      </c>
      <c r="D109" t="s">
        <v>359</v>
      </c>
      <c r="E109">
        <v>1</v>
      </c>
      <c r="F109" t="str">
        <f t="shared" si="37"/>
        <v>LOW</v>
      </c>
      <c r="G109">
        <f t="shared" si="42"/>
        <v>1.7</v>
      </c>
      <c r="H109">
        <f t="shared" si="43"/>
        <v>3.1410400000000003</v>
      </c>
      <c r="I109">
        <f t="shared" si="40"/>
        <v>1.1759999999999999</v>
      </c>
      <c r="J109">
        <f t="shared" si="44"/>
        <v>2.8627500000000001</v>
      </c>
      <c r="L109">
        <v>0.39500000000000002</v>
      </c>
      <c r="M109">
        <v>0.56000000000000005</v>
      </c>
      <c r="N109">
        <v>0.71</v>
      </c>
      <c r="O109">
        <v>0</v>
      </c>
      <c r="P109">
        <v>0.27500000000000002</v>
      </c>
      <c r="Q109">
        <v>0</v>
      </c>
    </row>
    <row r="110" spans="2:17">
      <c r="C110" s="1" t="s">
        <v>350</v>
      </c>
      <c r="D110" t="s">
        <v>360</v>
      </c>
      <c r="E110">
        <v>0</v>
      </c>
      <c r="F110" t="str">
        <f t="shared" si="37"/>
        <v>LOW</v>
      </c>
      <c r="G110">
        <f t="shared" si="42"/>
        <v>1.7</v>
      </c>
      <c r="H110">
        <f t="shared" si="43"/>
        <v>3.1410400000000003</v>
      </c>
      <c r="I110">
        <f t="shared" si="40"/>
        <v>1.1759999999999999</v>
      </c>
      <c r="J110">
        <f t="shared" si="44"/>
        <v>2.8627500000000001</v>
      </c>
      <c r="L110">
        <v>0.39500000000000002</v>
      </c>
      <c r="M110">
        <v>0.56000000000000005</v>
      </c>
      <c r="N110">
        <v>0.71</v>
      </c>
      <c r="O110">
        <v>0</v>
      </c>
      <c r="P110">
        <v>0.27500000000000002</v>
      </c>
      <c r="Q110">
        <v>0</v>
      </c>
    </row>
    <row r="111" spans="2:17">
      <c r="C111" s="1" t="s">
        <v>351</v>
      </c>
      <c r="D111" t="s">
        <v>361</v>
      </c>
      <c r="E111">
        <v>0</v>
      </c>
      <c r="F111" t="str">
        <f t="shared" si="37"/>
        <v>MEDIUM</v>
      </c>
      <c r="G111">
        <f t="shared" si="42"/>
        <v>4</v>
      </c>
      <c r="H111">
        <f t="shared" si="43"/>
        <v>4.927999999999999</v>
      </c>
      <c r="I111">
        <f t="shared" si="40"/>
        <v>1.1759999999999999</v>
      </c>
      <c r="J111">
        <f t="shared" si="44"/>
        <v>4.9382437499999998</v>
      </c>
      <c r="L111">
        <v>1</v>
      </c>
      <c r="M111">
        <v>0.70399999999999996</v>
      </c>
      <c r="N111">
        <v>0.35</v>
      </c>
      <c r="O111">
        <v>0.27500000000000002</v>
      </c>
      <c r="P111">
        <v>0</v>
      </c>
      <c r="Q111">
        <v>0.27500000000000002</v>
      </c>
    </row>
    <row r="112" spans="2:17">
      <c r="C112" s="1" t="s">
        <v>352</v>
      </c>
      <c r="D112" t="s">
        <v>362</v>
      </c>
      <c r="E112">
        <v>0</v>
      </c>
      <c r="F112" t="str">
        <f t="shared" si="37"/>
        <v>MEDIUM</v>
      </c>
      <c r="G112">
        <f t="shared" si="42"/>
        <v>4</v>
      </c>
      <c r="H112">
        <f t="shared" si="43"/>
        <v>7.952</v>
      </c>
      <c r="I112">
        <f t="shared" si="40"/>
        <v>1.1759999999999999</v>
      </c>
      <c r="J112">
        <f t="shared" si="44"/>
        <v>2.8627500000000001</v>
      </c>
      <c r="L112">
        <v>1</v>
      </c>
      <c r="M112">
        <v>0.56000000000000005</v>
      </c>
      <c r="N112">
        <v>0.71</v>
      </c>
      <c r="O112">
        <v>0</v>
      </c>
      <c r="P112">
        <v>0.27500000000000002</v>
      </c>
      <c r="Q112">
        <v>0</v>
      </c>
    </row>
    <row r="113" spans="1:17">
      <c r="C113" s="1" t="s">
        <v>353</v>
      </c>
      <c r="D113" t="s">
        <v>363</v>
      </c>
      <c r="E113">
        <v>0</v>
      </c>
      <c r="F113" t="str">
        <f t="shared" si="37"/>
        <v>HIGH</v>
      </c>
      <c r="G113">
        <f t="shared" si="42"/>
        <v>7.5</v>
      </c>
      <c r="H113">
        <f t="shared" si="43"/>
        <v>9.9967999999999986</v>
      </c>
      <c r="I113">
        <f t="shared" si="40"/>
        <v>1.1759999999999999</v>
      </c>
      <c r="J113">
        <f t="shared" si="44"/>
        <v>6.4429767187500007</v>
      </c>
      <c r="L113">
        <v>1</v>
      </c>
      <c r="M113">
        <v>0.70399999999999996</v>
      </c>
      <c r="N113">
        <v>0.71</v>
      </c>
      <c r="O113">
        <v>0.27500000000000002</v>
      </c>
      <c r="P113">
        <v>0.27500000000000002</v>
      </c>
      <c r="Q113">
        <v>0.27500000000000002</v>
      </c>
    </row>
    <row r="114" spans="1:17">
      <c r="B114" t="s">
        <v>364</v>
      </c>
      <c r="C114" s="1">
        <v>4.3</v>
      </c>
    </row>
    <row r="115" spans="1:17">
      <c r="C115" s="1" t="s">
        <v>365</v>
      </c>
      <c r="D115" t="s">
        <v>366</v>
      </c>
      <c r="E115">
        <v>0</v>
      </c>
      <c r="F115" t="str">
        <f t="shared" si="37"/>
        <v>HIGH</v>
      </c>
      <c r="G115">
        <f t="shared" ref="G115" si="45">ROUND(((0.6*J115)+(0.4*H115)-1.5)*I115,1)</f>
        <v>7.5</v>
      </c>
      <c r="H115">
        <f t="shared" ref="H115" si="46">20*L115*M115*N115</f>
        <v>9.9967999999999986</v>
      </c>
      <c r="I115">
        <f t="shared" si="40"/>
        <v>1.1759999999999999</v>
      </c>
      <c r="J115">
        <f t="shared" ref="J115" si="47">10.41*(1-(1-O115)*(1-P115)*(1-Q115))</f>
        <v>6.4429767187500007</v>
      </c>
      <c r="L115">
        <v>1</v>
      </c>
      <c r="M115">
        <v>0.70399999999999996</v>
      </c>
      <c r="N115">
        <v>0.71</v>
      </c>
      <c r="O115">
        <v>0.27500000000000002</v>
      </c>
      <c r="P115">
        <v>0.27500000000000002</v>
      </c>
      <c r="Q115">
        <v>0.27500000000000002</v>
      </c>
    </row>
    <row r="116" spans="1:17">
      <c r="A116" t="s">
        <v>175</v>
      </c>
      <c r="C116" s="1">
        <v>5</v>
      </c>
    </row>
    <row r="117" spans="1:17">
      <c r="B117" t="s">
        <v>367</v>
      </c>
      <c r="C117" s="1">
        <v>5.0999999999999996</v>
      </c>
    </row>
    <row r="118" spans="1:17">
      <c r="C118" s="1" t="s">
        <v>368</v>
      </c>
      <c r="D118" t="s">
        <v>381</v>
      </c>
      <c r="E118">
        <v>0</v>
      </c>
      <c r="F118" t="str">
        <f t="shared" ref="F118:F130" si="48">IF(G118=0, "NONE", IF(G118&lt;4, "LOW", IF(G118&lt;7, "MEDIUM", IF(G118&lt;9, "HIGH", "CRITICAL"))))</f>
        <v>HIGH</v>
      </c>
      <c r="G118">
        <f t="shared" ref="G118:G130" si="49">ROUND(((0.6*J118)+(0.4*H118)-1.5)*I118,1)</f>
        <v>7.7</v>
      </c>
      <c r="H118">
        <f t="shared" ref="H118:H130" si="50">20*L118*M118*N118</f>
        <v>5.1369920000000002</v>
      </c>
      <c r="I118">
        <f t="shared" ref="I118:I130" si="51">IF(J118=0, 0, 1.176)</f>
        <v>1.1759999999999999</v>
      </c>
      <c r="J118">
        <f t="shared" ref="J118:J130" si="52">10.41*(1-(1-O118)*(1-P118)*(1-Q118))</f>
        <v>10.00084536</v>
      </c>
      <c r="L118">
        <v>0.64600000000000002</v>
      </c>
      <c r="M118">
        <v>0.56000000000000005</v>
      </c>
      <c r="N118">
        <v>0.71</v>
      </c>
      <c r="O118">
        <v>0.66</v>
      </c>
      <c r="P118">
        <v>0.66</v>
      </c>
      <c r="Q118">
        <v>0.66</v>
      </c>
    </row>
    <row r="119" spans="1:17">
      <c r="C119" s="1" t="s">
        <v>369</v>
      </c>
      <c r="D119" t="s">
        <v>382</v>
      </c>
      <c r="E119">
        <v>0</v>
      </c>
      <c r="F119" t="str">
        <f t="shared" si="48"/>
        <v>HIGH</v>
      </c>
      <c r="G119">
        <f t="shared" si="49"/>
        <v>7.1</v>
      </c>
      <c r="H119">
        <f t="shared" si="50"/>
        <v>5.1369920000000002</v>
      </c>
      <c r="I119">
        <f t="shared" si="51"/>
        <v>1.1759999999999999</v>
      </c>
      <c r="J119">
        <f t="shared" si="52"/>
        <v>9.2066040000000005</v>
      </c>
      <c r="L119">
        <v>0.64600000000000002</v>
      </c>
      <c r="M119">
        <v>0.56000000000000005</v>
      </c>
      <c r="N119">
        <v>0.71</v>
      </c>
      <c r="O119">
        <v>0.66</v>
      </c>
      <c r="P119">
        <v>0</v>
      </c>
      <c r="Q119">
        <v>0.66</v>
      </c>
    </row>
    <row r="120" spans="1:17">
      <c r="C120" s="1" t="s">
        <v>370</v>
      </c>
      <c r="D120" t="s">
        <v>383</v>
      </c>
      <c r="E120">
        <v>0</v>
      </c>
      <c r="F120" t="str">
        <f t="shared" si="48"/>
        <v>MEDIUM</v>
      </c>
      <c r="G120">
        <f t="shared" si="49"/>
        <v>5.2</v>
      </c>
      <c r="H120">
        <f t="shared" si="50"/>
        <v>5.1369920000000002</v>
      </c>
      <c r="I120">
        <f t="shared" si="51"/>
        <v>1.1759999999999999</v>
      </c>
      <c r="J120">
        <f t="shared" si="52"/>
        <v>6.4429767187500007</v>
      </c>
      <c r="L120">
        <v>0.64600000000000002</v>
      </c>
      <c r="M120">
        <v>0.56000000000000005</v>
      </c>
      <c r="N120">
        <v>0.71</v>
      </c>
      <c r="O120">
        <v>0.27500000000000002</v>
      </c>
      <c r="P120">
        <v>0.27500000000000002</v>
      </c>
      <c r="Q120">
        <v>0.27500000000000002</v>
      </c>
    </row>
    <row r="121" spans="1:17">
      <c r="C121" s="1" t="s">
        <v>371</v>
      </c>
      <c r="D121" t="s">
        <v>384</v>
      </c>
      <c r="E121">
        <v>0</v>
      </c>
      <c r="F121" t="str">
        <f t="shared" si="48"/>
        <v>HIGH</v>
      </c>
      <c r="G121">
        <f t="shared" si="49"/>
        <v>7.1</v>
      </c>
      <c r="H121">
        <f t="shared" si="50"/>
        <v>5.1369920000000002</v>
      </c>
      <c r="I121">
        <f t="shared" si="51"/>
        <v>1.1759999999999999</v>
      </c>
      <c r="J121">
        <f t="shared" si="52"/>
        <v>9.2066040000000005</v>
      </c>
      <c r="L121">
        <v>0.64600000000000002</v>
      </c>
      <c r="M121">
        <v>0.56000000000000005</v>
      </c>
      <c r="N121">
        <v>0.71</v>
      </c>
      <c r="O121">
        <v>0.66</v>
      </c>
      <c r="P121">
        <v>0.66</v>
      </c>
      <c r="Q121">
        <v>0</v>
      </c>
    </row>
    <row r="122" spans="1:17">
      <c r="C122" s="1" t="s">
        <v>372</v>
      </c>
      <c r="D122" t="s">
        <v>385</v>
      </c>
      <c r="E122">
        <v>0</v>
      </c>
      <c r="F122" t="str">
        <f t="shared" si="48"/>
        <v>MEDIUM</v>
      </c>
      <c r="G122">
        <f t="shared" si="49"/>
        <v>5.2</v>
      </c>
      <c r="H122">
        <f t="shared" si="50"/>
        <v>5.1369920000000002</v>
      </c>
      <c r="I122">
        <f t="shared" si="51"/>
        <v>1.1759999999999999</v>
      </c>
      <c r="J122">
        <f t="shared" si="52"/>
        <v>6.4429767187500007</v>
      </c>
      <c r="L122">
        <v>0.64600000000000002</v>
      </c>
      <c r="M122">
        <v>0.56000000000000005</v>
      </c>
      <c r="N122">
        <v>0.71</v>
      </c>
      <c r="O122">
        <v>0.27500000000000002</v>
      </c>
      <c r="P122">
        <v>0.27500000000000002</v>
      </c>
      <c r="Q122">
        <v>0.27500000000000002</v>
      </c>
    </row>
    <row r="123" spans="1:17">
      <c r="C123" s="1" t="s">
        <v>373</v>
      </c>
      <c r="D123" t="s">
        <v>386</v>
      </c>
      <c r="E123">
        <v>0</v>
      </c>
      <c r="F123" t="str">
        <f t="shared" si="48"/>
        <v>HIGH</v>
      </c>
      <c r="G123">
        <f t="shared" si="49"/>
        <v>7.5</v>
      </c>
      <c r="H123">
        <f t="shared" si="50"/>
        <v>9.9967999999999986</v>
      </c>
      <c r="I123">
        <f t="shared" si="51"/>
        <v>1.1759999999999999</v>
      </c>
      <c r="J123">
        <f t="shared" si="52"/>
        <v>6.4429767187500007</v>
      </c>
      <c r="L123">
        <v>1</v>
      </c>
      <c r="M123">
        <v>0.70399999999999996</v>
      </c>
      <c r="N123">
        <v>0.71</v>
      </c>
      <c r="O123">
        <v>0.27500000000000002</v>
      </c>
      <c r="P123">
        <v>0.27500000000000002</v>
      </c>
      <c r="Q123">
        <v>0.27500000000000002</v>
      </c>
    </row>
    <row r="124" spans="1:17">
      <c r="C124" s="1" t="s">
        <v>374</v>
      </c>
      <c r="D124" t="s">
        <v>91</v>
      </c>
      <c r="E124">
        <v>0</v>
      </c>
      <c r="F124" t="str">
        <f t="shared" si="48"/>
        <v>HIGH</v>
      </c>
      <c r="G124">
        <f t="shared" si="49"/>
        <v>7.7</v>
      </c>
      <c r="H124">
        <f t="shared" si="50"/>
        <v>5.1369920000000002</v>
      </c>
      <c r="I124">
        <f t="shared" si="51"/>
        <v>1.1759999999999999</v>
      </c>
      <c r="J124">
        <f t="shared" si="52"/>
        <v>10.00084536</v>
      </c>
      <c r="L124">
        <v>0.64600000000000002</v>
      </c>
      <c r="M124">
        <v>0.56000000000000005</v>
      </c>
      <c r="N124">
        <v>0.71</v>
      </c>
      <c r="O124">
        <v>0.66</v>
      </c>
      <c r="P124">
        <v>0.66</v>
      </c>
      <c r="Q124">
        <v>0.66</v>
      </c>
    </row>
    <row r="125" spans="1:17">
      <c r="C125" s="1" t="s">
        <v>375</v>
      </c>
      <c r="D125" t="s">
        <v>387</v>
      </c>
      <c r="E125">
        <v>0</v>
      </c>
      <c r="F125" t="str">
        <f t="shared" si="48"/>
        <v>HIGH</v>
      </c>
      <c r="G125">
        <f t="shared" si="49"/>
        <v>7.4</v>
      </c>
      <c r="H125">
        <f t="shared" si="50"/>
        <v>4.4134720000000005</v>
      </c>
      <c r="I125">
        <f t="shared" si="51"/>
        <v>1.1759999999999999</v>
      </c>
      <c r="J125">
        <f t="shared" si="52"/>
        <v>10.00084536</v>
      </c>
      <c r="L125">
        <v>0.64600000000000002</v>
      </c>
      <c r="M125">
        <v>0.56000000000000005</v>
      </c>
      <c r="N125">
        <v>0.61</v>
      </c>
      <c r="O125">
        <v>0.66</v>
      </c>
      <c r="P125">
        <v>0.66</v>
      </c>
      <c r="Q125">
        <v>0.66</v>
      </c>
    </row>
    <row r="126" spans="1:17">
      <c r="C126" s="1" t="s">
        <v>376</v>
      </c>
      <c r="D126" t="s">
        <v>388</v>
      </c>
      <c r="E126">
        <v>0</v>
      </c>
      <c r="F126" t="str">
        <f t="shared" si="48"/>
        <v>LOW</v>
      </c>
      <c r="G126">
        <f t="shared" si="49"/>
        <v>3.8</v>
      </c>
      <c r="H126">
        <f t="shared" si="50"/>
        <v>4.4134720000000005</v>
      </c>
      <c r="I126">
        <f t="shared" si="51"/>
        <v>1.1759999999999999</v>
      </c>
      <c r="J126">
        <f t="shared" si="52"/>
        <v>4.9382437499999998</v>
      </c>
      <c r="L126">
        <v>0.64600000000000002</v>
      </c>
      <c r="M126">
        <v>0.56000000000000005</v>
      </c>
      <c r="N126">
        <v>0.61</v>
      </c>
      <c r="O126">
        <v>0.27500000000000002</v>
      </c>
      <c r="P126">
        <v>0.27500000000000002</v>
      </c>
      <c r="Q126">
        <v>0</v>
      </c>
    </row>
    <row r="127" spans="1:17">
      <c r="C127" s="1" t="s">
        <v>377</v>
      </c>
      <c r="D127" t="s">
        <v>95</v>
      </c>
      <c r="E127">
        <v>0</v>
      </c>
      <c r="F127" t="str">
        <f t="shared" si="48"/>
        <v>HIGH</v>
      </c>
      <c r="G127">
        <f t="shared" si="49"/>
        <v>7.4</v>
      </c>
      <c r="H127">
        <f t="shared" si="50"/>
        <v>4.4134720000000005</v>
      </c>
      <c r="I127">
        <f t="shared" si="51"/>
        <v>1.1759999999999999</v>
      </c>
      <c r="J127">
        <f t="shared" si="52"/>
        <v>10.00084536</v>
      </c>
      <c r="L127">
        <v>0.64600000000000002</v>
      </c>
      <c r="M127">
        <v>0.56000000000000005</v>
      </c>
      <c r="N127">
        <v>0.61</v>
      </c>
      <c r="O127">
        <v>0.66</v>
      </c>
      <c r="P127">
        <v>0.66</v>
      </c>
      <c r="Q127">
        <v>0.66</v>
      </c>
    </row>
    <row r="128" spans="1:17">
      <c r="C128" s="1" t="s">
        <v>378</v>
      </c>
      <c r="D128" t="s">
        <v>389</v>
      </c>
      <c r="E128">
        <v>0</v>
      </c>
      <c r="F128" t="str">
        <f t="shared" si="48"/>
        <v>HIGH</v>
      </c>
      <c r="G128">
        <f t="shared" si="49"/>
        <v>7.4</v>
      </c>
      <c r="H128">
        <f t="shared" si="50"/>
        <v>4.4134720000000005</v>
      </c>
      <c r="I128">
        <f t="shared" si="51"/>
        <v>1.1759999999999999</v>
      </c>
      <c r="J128">
        <f t="shared" si="52"/>
        <v>10.00084536</v>
      </c>
      <c r="L128">
        <v>0.64600000000000002</v>
      </c>
      <c r="M128">
        <v>0.56000000000000005</v>
      </c>
      <c r="N128">
        <v>0.61</v>
      </c>
      <c r="O128">
        <v>0.66</v>
      </c>
      <c r="P128">
        <v>0.66</v>
      </c>
      <c r="Q128">
        <v>0.66</v>
      </c>
    </row>
    <row r="129" spans="2:17">
      <c r="C129" s="1" t="s">
        <v>379</v>
      </c>
      <c r="D129" t="s">
        <v>96</v>
      </c>
      <c r="E129">
        <v>0</v>
      </c>
      <c r="F129" t="str">
        <f t="shared" si="48"/>
        <v>HIGH</v>
      </c>
      <c r="G129">
        <f t="shared" si="49"/>
        <v>7.4</v>
      </c>
      <c r="H129">
        <f t="shared" si="50"/>
        <v>4.4134720000000005</v>
      </c>
      <c r="I129">
        <f t="shared" si="51"/>
        <v>1.1759999999999999</v>
      </c>
      <c r="J129">
        <f t="shared" si="52"/>
        <v>10.00084536</v>
      </c>
      <c r="L129">
        <v>0.64600000000000002</v>
      </c>
      <c r="M129">
        <v>0.56000000000000005</v>
      </c>
      <c r="N129">
        <v>0.61</v>
      </c>
      <c r="O129">
        <v>0.66</v>
      </c>
      <c r="P129">
        <v>0.66</v>
      </c>
      <c r="Q129">
        <v>0.66</v>
      </c>
    </row>
    <row r="130" spans="2:17">
      <c r="C130" s="1" t="s">
        <v>380</v>
      </c>
      <c r="D130" t="s">
        <v>97</v>
      </c>
      <c r="E130">
        <v>0</v>
      </c>
      <c r="F130" t="str">
        <f t="shared" si="48"/>
        <v>MEDIUM</v>
      </c>
      <c r="G130">
        <f t="shared" si="49"/>
        <v>4.9000000000000004</v>
      </c>
      <c r="H130">
        <f t="shared" si="50"/>
        <v>4.4134720000000005</v>
      </c>
      <c r="I130">
        <f t="shared" si="51"/>
        <v>1.1759999999999999</v>
      </c>
      <c r="J130">
        <f t="shared" si="52"/>
        <v>6.4429767187500007</v>
      </c>
      <c r="L130">
        <v>0.64600000000000002</v>
      </c>
      <c r="M130">
        <v>0.56000000000000005</v>
      </c>
      <c r="N130">
        <v>0.61</v>
      </c>
      <c r="O130">
        <v>0.27500000000000002</v>
      </c>
      <c r="P130">
        <v>0.27500000000000002</v>
      </c>
      <c r="Q130">
        <v>0.27500000000000002</v>
      </c>
    </row>
    <row r="131" spans="2:17">
      <c r="B131" t="s">
        <v>390</v>
      </c>
      <c r="C131" s="1">
        <v>5.2</v>
      </c>
    </row>
    <row r="132" spans="2:17">
      <c r="C132" s="1" t="s">
        <v>391</v>
      </c>
      <c r="D132" t="s">
        <v>396</v>
      </c>
      <c r="E132">
        <v>0</v>
      </c>
      <c r="F132" t="str">
        <f t="shared" ref="F132:F143" si="53">IF(G132=0, "NONE", IF(G132&lt;4, "LOW", IF(G132&lt;7, "MEDIUM", IF(G132&lt;9, "HIGH", "CRITICAL"))))</f>
        <v>HIGH</v>
      </c>
      <c r="G132">
        <f t="shared" ref="G132:G143" si="54">ROUND(((0.6*J132)+(0.4*H132)-1.5)*I132,1)</f>
        <v>7.4</v>
      </c>
      <c r="H132">
        <f t="shared" ref="H132:H143" si="55">20*L132*M132*N132</f>
        <v>4.4134720000000005</v>
      </c>
      <c r="I132">
        <f t="shared" ref="I132:I143" si="56">IF(J132=0, 0, 1.176)</f>
        <v>1.1759999999999999</v>
      </c>
      <c r="J132">
        <f t="shared" ref="J132:J143" si="57">10.41*(1-(1-O132)*(1-P132)*(1-Q132))</f>
        <v>10.00084536</v>
      </c>
      <c r="L132">
        <v>0.64600000000000002</v>
      </c>
      <c r="M132">
        <v>0.56000000000000005</v>
      </c>
      <c r="N132">
        <v>0.61</v>
      </c>
      <c r="O132">
        <v>0.66</v>
      </c>
      <c r="P132">
        <v>0.66</v>
      </c>
      <c r="Q132">
        <v>0.66</v>
      </c>
    </row>
    <row r="133" spans="2:17">
      <c r="C133" s="1" t="s">
        <v>392</v>
      </c>
      <c r="D133" t="s">
        <v>397</v>
      </c>
      <c r="E133">
        <v>0</v>
      </c>
      <c r="F133" t="str">
        <f t="shared" si="53"/>
        <v>HIGH</v>
      </c>
      <c r="G133">
        <f t="shared" si="54"/>
        <v>7.4</v>
      </c>
      <c r="H133">
        <f t="shared" si="55"/>
        <v>4.4134720000000005</v>
      </c>
      <c r="I133">
        <f t="shared" si="56"/>
        <v>1.1759999999999999</v>
      </c>
      <c r="J133">
        <f t="shared" si="57"/>
        <v>10.00084536</v>
      </c>
      <c r="L133">
        <v>0.64600000000000002</v>
      </c>
      <c r="M133">
        <v>0.56000000000000005</v>
      </c>
      <c r="N133">
        <v>0.61</v>
      </c>
      <c r="O133">
        <v>0.66</v>
      </c>
      <c r="P133">
        <v>0.66</v>
      </c>
      <c r="Q133">
        <v>0.66</v>
      </c>
    </row>
    <row r="134" spans="2:17">
      <c r="C134" s="1" t="s">
        <v>180</v>
      </c>
      <c r="D134" t="s">
        <v>398</v>
      </c>
      <c r="E134">
        <v>0</v>
      </c>
      <c r="F134" t="str">
        <f t="shared" si="53"/>
        <v>MEDIUM</v>
      </c>
      <c r="G134">
        <f t="shared" si="54"/>
        <v>6.5</v>
      </c>
      <c r="H134">
        <f t="shared" si="55"/>
        <v>2.5323199999999999</v>
      </c>
      <c r="I134">
        <f t="shared" si="56"/>
        <v>1.1759999999999999</v>
      </c>
      <c r="J134">
        <f t="shared" si="57"/>
        <v>10.00084536</v>
      </c>
      <c r="L134">
        <v>0.64600000000000002</v>
      </c>
      <c r="M134">
        <v>0.56000000000000005</v>
      </c>
      <c r="N134">
        <v>0.35</v>
      </c>
      <c r="O134">
        <v>0.66</v>
      </c>
      <c r="P134">
        <v>0.66</v>
      </c>
      <c r="Q134">
        <v>0.66</v>
      </c>
    </row>
    <row r="135" spans="2:17">
      <c r="C135" s="1" t="s">
        <v>181</v>
      </c>
      <c r="D135" t="s">
        <v>399</v>
      </c>
      <c r="E135">
        <v>0</v>
      </c>
      <c r="F135" t="str">
        <f t="shared" si="53"/>
        <v>MEDIUM</v>
      </c>
      <c r="G135">
        <f t="shared" si="54"/>
        <v>6.5</v>
      </c>
      <c r="H135">
        <f t="shared" si="55"/>
        <v>2.5323199999999999</v>
      </c>
      <c r="I135">
        <f t="shared" si="56"/>
        <v>1.1759999999999999</v>
      </c>
      <c r="J135">
        <f t="shared" si="57"/>
        <v>10.00084536</v>
      </c>
      <c r="L135">
        <v>0.64600000000000002</v>
      </c>
      <c r="M135">
        <v>0.56000000000000005</v>
      </c>
      <c r="N135">
        <v>0.35</v>
      </c>
      <c r="O135">
        <v>0.66</v>
      </c>
      <c r="P135">
        <v>0.66</v>
      </c>
      <c r="Q135">
        <v>0.66</v>
      </c>
    </row>
    <row r="136" spans="2:17">
      <c r="C136" s="1" t="s">
        <v>182</v>
      </c>
      <c r="D136" t="s">
        <v>400</v>
      </c>
      <c r="E136">
        <v>0</v>
      </c>
      <c r="F136" t="str">
        <f t="shared" si="53"/>
        <v>MEDIUM</v>
      </c>
      <c r="G136">
        <f t="shared" si="54"/>
        <v>6.5</v>
      </c>
      <c r="H136">
        <f t="shared" si="55"/>
        <v>2.5323199999999999</v>
      </c>
      <c r="I136">
        <f t="shared" si="56"/>
        <v>1.1759999999999999</v>
      </c>
      <c r="J136">
        <f t="shared" si="57"/>
        <v>10.00084536</v>
      </c>
      <c r="L136">
        <v>0.64600000000000002</v>
      </c>
      <c r="M136">
        <v>0.56000000000000005</v>
      </c>
      <c r="N136">
        <v>0.35</v>
      </c>
      <c r="O136">
        <v>0.66</v>
      </c>
      <c r="P136">
        <v>0.66</v>
      </c>
      <c r="Q136">
        <v>0.66</v>
      </c>
    </row>
    <row r="137" spans="2:17">
      <c r="C137" s="1" t="s">
        <v>178</v>
      </c>
      <c r="D137" t="s">
        <v>401</v>
      </c>
      <c r="E137">
        <v>0</v>
      </c>
      <c r="F137" t="str">
        <f t="shared" si="53"/>
        <v>MEDIUM</v>
      </c>
      <c r="G137">
        <f t="shared" si="54"/>
        <v>6.5</v>
      </c>
      <c r="H137">
        <f t="shared" si="55"/>
        <v>2.5323199999999999</v>
      </c>
      <c r="I137">
        <f t="shared" si="56"/>
        <v>1.1759999999999999</v>
      </c>
      <c r="J137">
        <f t="shared" si="57"/>
        <v>10.00084536</v>
      </c>
      <c r="L137">
        <v>0.64600000000000002</v>
      </c>
      <c r="M137">
        <v>0.56000000000000005</v>
      </c>
      <c r="N137">
        <v>0.35</v>
      </c>
      <c r="O137">
        <v>0.66</v>
      </c>
      <c r="P137">
        <v>0.66</v>
      </c>
      <c r="Q137">
        <v>0.66</v>
      </c>
    </row>
    <row r="138" spans="2:17">
      <c r="C138" s="1" t="s">
        <v>184</v>
      </c>
      <c r="D138" t="s">
        <v>402</v>
      </c>
      <c r="E138">
        <v>0</v>
      </c>
      <c r="F138" t="str">
        <f t="shared" si="53"/>
        <v>MEDIUM</v>
      </c>
      <c r="G138">
        <f t="shared" si="54"/>
        <v>6.5</v>
      </c>
      <c r="H138">
        <f t="shared" si="55"/>
        <v>2.5323199999999999</v>
      </c>
      <c r="I138">
        <f t="shared" si="56"/>
        <v>1.1759999999999999</v>
      </c>
      <c r="J138">
        <f t="shared" si="57"/>
        <v>10.00084536</v>
      </c>
      <c r="L138">
        <v>0.64600000000000002</v>
      </c>
      <c r="M138">
        <v>0.56000000000000005</v>
      </c>
      <c r="N138">
        <v>0.35</v>
      </c>
      <c r="O138">
        <v>0.66</v>
      </c>
      <c r="P138">
        <v>0.66</v>
      </c>
      <c r="Q138">
        <v>0.66</v>
      </c>
    </row>
    <row r="139" spans="2:17">
      <c r="C139" s="1" t="s">
        <v>187</v>
      </c>
      <c r="D139" t="s">
        <v>403</v>
      </c>
      <c r="E139">
        <v>0</v>
      </c>
      <c r="F139" t="str">
        <f t="shared" si="53"/>
        <v>MEDIUM</v>
      </c>
      <c r="G139">
        <f t="shared" si="54"/>
        <v>6.5</v>
      </c>
      <c r="H139">
        <f t="shared" si="55"/>
        <v>2.5323199999999999</v>
      </c>
      <c r="I139">
        <f t="shared" si="56"/>
        <v>1.1759999999999999</v>
      </c>
      <c r="J139">
        <f t="shared" si="57"/>
        <v>10.00084536</v>
      </c>
      <c r="L139">
        <v>0.64600000000000002</v>
      </c>
      <c r="M139">
        <v>0.56000000000000005</v>
      </c>
      <c r="N139">
        <v>0.35</v>
      </c>
      <c r="O139">
        <v>0.66</v>
      </c>
      <c r="P139">
        <v>0.66</v>
      </c>
      <c r="Q139">
        <v>0.66</v>
      </c>
    </row>
    <row r="140" spans="2:17">
      <c r="C140" s="1" t="s">
        <v>188</v>
      </c>
      <c r="D140" t="s">
        <v>404</v>
      </c>
      <c r="E140">
        <v>0</v>
      </c>
      <c r="F140" t="str">
        <f t="shared" si="53"/>
        <v>MEDIUM</v>
      </c>
      <c r="G140">
        <f t="shared" si="54"/>
        <v>6.5</v>
      </c>
      <c r="H140">
        <f t="shared" si="55"/>
        <v>2.5323199999999999</v>
      </c>
      <c r="I140">
        <f t="shared" si="56"/>
        <v>1.1759999999999999</v>
      </c>
      <c r="J140">
        <f t="shared" si="57"/>
        <v>10.00084536</v>
      </c>
      <c r="L140">
        <v>0.64600000000000002</v>
      </c>
      <c r="M140">
        <v>0.56000000000000005</v>
      </c>
      <c r="N140">
        <v>0.35</v>
      </c>
      <c r="O140">
        <v>0.66</v>
      </c>
      <c r="P140">
        <v>0.66</v>
      </c>
      <c r="Q140">
        <v>0.66</v>
      </c>
    </row>
    <row r="141" spans="2:17">
      <c r="C141" s="1" t="s">
        <v>393</v>
      </c>
      <c r="D141" t="s">
        <v>405</v>
      </c>
      <c r="E141">
        <v>0</v>
      </c>
      <c r="F141" t="str">
        <f t="shared" si="53"/>
        <v>HIGH</v>
      </c>
      <c r="G141">
        <f t="shared" si="54"/>
        <v>7.4</v>
      </c>
      <c r="H141">
        <f t="shared" si="55"/>
        <v>4.4134720000000005</v>
      </c>
      <c r="I141">
        <f t="shared" si="56"/>
        <v>1.1759999999999999</v>
      </c>
      <c r="J141">
        <f t="shared" si="57"/>
        <v>10.00084536</v>
      </c>
      <c r="L141">
        <v>0.64600000000000002</v>
      </c>
      <c r="M141">
        <v>0.56000000000000005</v>
      </c>
      <c r="N141">
        <v>0.61</v>
      </c>
      <c r="O141">
        <v>0.66</v>
      </c>
      <c r="P141">
        <v>0.66</v>
      </c>
      <c r="Q141">
        <v>0.66</v>
      </c>
    </row>
    <row r="142" spans="2:17">
      <c r="C142" s="1" t="s">
        <v>394</v>
      </c>
      <c r="D142" t="s">
        <v>406</v>
      </c>
      <c r="E142">
        <v>0</v>
      </c>
      <c r="F142" t="str">
        <f t="shared" si="53"/>
        <v>MEDIUM</v>
      </c>
      <c r="G142">
        <f t="shared" si="54"/>
        <v>6.5</v>
      </c>
      <c r="H142">
        <f t="shared" si="55"/>
        <v>2.5323199999999999</v>
      </c>
      <c r="I142">
        <f t="shared" si="56"/>
        <v>1.1759999999999999</v>
      </c>
      <c r="J142">
        <f t="shared" si="57"/>
        <v>10.00084536</v>
      </c>
      <c r="L142">
        <v>0.64600000000000002</v>
      </c>
      <c r="M142">
        <v>0.56000000000000005</v>
      </c>
      <c r="N142">
        <v>0.35</v>
      </c>
      <c r="O142">
        <v>0.66</v>
      </c>
      <c r="P142">
        <v>0.66</v>
      </c>
      <c r="Q142">
        <v>0.66</v>
      </c>
    </row>
    <row r="143" spans="2:17">
      <c r="C143" s="1" t="s">
        <v>395</v>
      </c>
      <c r="D143" t="s">
        <v>407</v>
      </c>
      <c r="E143">
        <v>0</v>
      </c>
      <c r="F143" t="str">
        <f t="shared" si="53"/>
        <v>MEDIUM</v>
      </c>
      <c r="G143">
        <f t="shared" si="54"/>
        <v>6.5</v>
      </c>
      <c r="H143">
        <f t="shared" si="55"/>
        <v>2.5323199999999999</v>
      </c>
      <c r="I143">
        <f t="shared" si="56"/>
        <v>1.1759999999999999</v>
      </c>
      <c r="J143">
        <f t="shared" si="57"/>
        <v>10.00084536</v>
      </c>
      <c r="L143">
        <v>0.64600000000000002</v>
      </c>
      <c r="M143">
        <v>0.56000000000000005</v>
      </c>
      <c r="N143">
        <v>0.35</v>
      </c>
      <c r="O143">
        <v>0.66</v>
      </c>
      <c r="P143">
        <v>0.66</v>
      </c>
      <c r="Q143">
        <v>0.66</v>
      </c>
    </row>
    <row r="144" spans="2:17">
      <c r="B144" t="s">
        <v>408</v>
      </c>
      <c r="C144" s="1">
        <v>5.3</v>
      </c>
    </row>
    <row r="145" spans="2:17">
      <c r="C145" s="1" t="s">
        <v>409</v>
      </c>
      <c r="D145" t="s">
        <v>411</v>
      </c>
      <c r="E145">
        <v>0</v>
      </c>
      <c r="F145" t="str">
        <f t="shared" ref="F145:F146" si="58">IF(G145=0, "NONE", IF(G145&lt;4, "LOW", IF(G145&lt;7, "MEDIUM", IF(G145&lt;9, "HIGH", "CRITICAL"))))</f>
        <v>MEDIUM</v>
      </c>
      <c r="G145">
        <f t="shared" ref="G145:G146" si="59">ROUND(((0.6*J145)+(0.4*H145)-1.5)*I145,1)</f>
        <v>4.5999999999999996</v>
      </c>
      <c r="H145">
        <f t="shared" ref="H145:H146" si="60">20*L145*M145*N145</f>
        <v>3.92</v>
      </c>
      <c r="I145">
        <f t="shared" ref="I145:I146" si="61">IF(J145=0, 0, 1.176)</f>
        <v>1.1759999999999999</v>
      </c>
      <c r="J145">
        <f t="shared" ref="J145:J146" si="62">10.41*(1-(1-O145)*(1-P145)*(1-Q145))</f>
        <v>6.4429767187500007</v>
      </c>
      <c r="L145">
        <v>1</v>
      </c>
      <c r="M145">
        <v>0.56000000000000005</v>
      </c>
      <c r="N145">
        <v>0.35</v>
      </c>
      <c r="O145">
        <v>0.27500000000000002</v>
      </c>
      <c r="P145">
        <v>0.27500000000000002</v>
      </c>
      <c r="Q145">
        <v>0.27500000000000002</v>
      </c>
    </row>
    <row r="146" spans="2:17">
      <c r="C146" s="1" t="s">
        <v>410</v>
      </c>
      <c r="D146" t="s">
        <v>412</v>
      </c>
      <c r="E146">
        <v>0</v>
      </c>
      <c r="F146" t="str">
        <f t="shared" si="58"/>
        <v>MEDIUM</v>
      </c>
      <c r="G146">
        <f t="shared" si="59"/>
        <v>4.5999999999999996</v>
      </c>
      <c r="H146">
        <f t="shared" si="60"/>
        <v>3.92</v>
      </c>
      <c r="I146">
        <f t="shared" si="61"/>
        <v>1.1759999999999999</v>
      </c>
      <c r="J146">
        <f t="shared" si="62"/>
        <v>6.4429767187500007</v>
      </c>
      <c r="L146">
        <v>1</v>
      </c>
      <c r="M146">
        <v>0.56000000000000005</v>
      </c>
      <c r="N146">
        <v>0.35</v>
      </c>
      <c r="O146">
        <v>0.27500000000000002</v>
      </c>
      <c r="P146">
        <v>0.27500000000000002</v>
      </c>
      <c r="Q146">
        <v>0.27500000000000002</v>
      </c>
    </row>
    <row r="147" spans="2:17">
      <c r="B147" t="s">
        <v>98</v>
      </c>
      <c r="C147" s="1">
        <v>5.4</v>
      </c>
    </row>
    <row r="148" spans="2:17">
      <c r="C148" s="1" t="s">
        <v>414</v>
      </c>
      <c r="D148" t="s">
        <v>413</v>
      </c>
      <c r="E148">
        <v>0</v>
      </c>
      <c r="F148" t="str">
        <f t="shared" ref="F148:F149" si="63">IF(G148=0, "NONE", IF(G148&lt;4, "LOW", IF(G148&lt;7, "MEDIUM", IF(G148&lt;9, "HIGH", "CRITICAL"))))</f>
        <v>MEDIUM</v>
      </c>
      <c r="G148">
        <f t="shared" ref="G148:G149" si="64">ROUND(((0.6*J148)+(0.4*H148)-1.5)*I148,1)</f>
        <v>6.2</v>
      </c>
      <c r="H148">
        <f t="shared" ref="H148:H149" si="65">20*L148*M148*N148</f>
        <v>3.1410400000000003</v>
      </c>
      <c r="I148">
        <f t="shared" ref="I148:I149" si="66">IF(J148=0, 0, 1.176)</f>
        <v>1.1759999999999999</v>
      </c>
      <c r="J148">
        <f t="shared" ref="J148:J149" si="67">10.41*(1-(1-O148)*(1-P148)*(1-Q148))</f>
        <v>9.2066040000000005</v>
      </c>
      <c r="L148">
        <v>0.39500000000000002</v>
      </c>
      <c r="M148">
        <v>0.56000000000000005</v>
      </c>
      <c r="N148">
        <v>0.71</v>
      </c>
      <c r="O148">
        <v>0.66</v>
      </c>
      <c r="P148">
        <v>0</v>
      </c>
      <c r="Q148">
        <v>0.66</v>
      </c>
    </row>
    <row r="149" spans="2:17">
      <c r="C149" s="1" t="s">
        <v>415</v>
      </c>
      <c r="D149" t="s">
        <v>416</v>
      </c>
      <c r="E149">
        <v>0</v>
      </c>
      <c r="F149" t="str">
        <f t="shared" si="63"/>
        <v>NONE</v>
      </c>
      <c r="G149">
        <f t="shared" si="64"/>
        <v>0</v>
      </c>
      <c r="H149">
        <f t="shared" si="65"/>
        <v>3.1410400000000003</v>
      </c>
      <c r="I149">
        <f t="shared" si="66"/>
        <v>0</v>
      </c>
      <c r="J149">
        <f t="shared" si="67"/>
        <v>0</v>
      </c>
      <c r="L149">
        <v>0.39500000000000002</v>
      </c>
      <c r="M149">
        <v>0.56000000000000005</v>
      </c>
      <c r="N149">
        <v>0.71</v>
      </c>
      <c r="O149">
        <v>0</v>
      </c>
      <c r="P149">
        <v>0</v>
      </c>
      <c r="Q149">
        <v>0</v>
      </c>
    </row>
    <row r="150" spans="2:17">
      <c r="B150" t="s">
        <v>418</v>
      </c>
      <c r="C150" s="1">
        <v>5.5</v>
      </c>
    </row>
    <row r="151" spans="2:17">
      <c r="C151" s="1" t="s">
        <v>419</v>
      </c>
      <c r="D151" t="s">
        <v>420</v>
      </c>
      <c r="E151">
        <v>0</v>
      </c>
      <c r="F151" t="str">
        <f t="shared" ref="F151" si="68">IF(G151=0, "NONE", IF(G151&lt;4, "LOW", IF(G151&lt;7, "MEDIUM", IF(G151&lt;9, "HIGH", "CRITICAL"))))</f>
        <v>LOW</v>
      </c>
      <c r="G151">
        <f t="shared" ref="G151" si="69">ROUND(((0.6*J151)+(0.4*H151)-1.5)*I151,1)</f>
        <v>3.3</v>
      </c>
      <c r="H151">
        <f t="shared" ref="H151" si="70">20*L151*M151*N151</f>
        <v>6.4579327999999991</v>
      </c>
      <c r="I151">
        <f t="shared" ref="I151" si="71">IF(J151=0, 0, 1.176)</f>
        <v>1.1759999999999999</v>
      </c>
      <c r="J151">
        <f t="shared" ref="J151" si="72">10.41*(1-(1-O151)*(1-P151)*(1-Q151))</f>
        <v>2.8627500000000001</v>
      </c>
      <c r="L151">
        <v>0.64600000000000002</v>
      </c>
      <c r="M151">
        <v>0.70399999999999996</v>
      </c>
      <c r="N151">
        <v>0.71</v>
      </c>
      <c r="O151">
        <v>0</v>
      </c>
      <c r="P151">
        <v>0</v>
      </c>
      <c r="Q151">
        <v>0.27500000000000002</v>
      </c>
    </row>
    <row r="152" spans="2:17">
      <c r="B152" t="s">
        <v>417</v>
      </c>
      <c r="C152" s="1">
        <v>5.6</v>
      </c>
    </row>
    <row r="153" spans="2:17">
      <c r="C153" s="1" t="s">
        <v>421</v>
      </c>
      <c r="D153" t="s">
        <v>423</v>
      </c>
      <c r="E153">
        <v>0</v>
      </c>
      <c r="F153" t="str">
        <f t="shared" ref="F153:F156" si="73">IF(G153=0, "NONE", IF(G153&lt;4, "LOW", IF(G153&lt;7, "MEDIUM", IF(G153&lt;9, "HIGH", "CRITICAL"))))</f>
        <v>MEDIUM</v>
      </c>
      <c r="G153">
        <f t="shared" ref="G153:G156" si="74">ROUND(((0.6*J153)+(0.4*H153)-1.5)*I153,1)</f>
        <v>4.0999999999999996</v>
      </c>
      <c r="H153">
        <f t="shared" ref="H153:H156" si="75">20*L153*M153*N153</f>
        <v>5.1369920000000002</v>
      </c>
      <c r="I153">
        <f t="shared" ref="I153:I156" si="76">IF(J153=0, 0, 1.176)</f>
        <v>1.1759999999999999</v>
      </c>
      <c r="J153">
        <f t="shared" ref="J153:J155" si="77">10.41*(1-(1-O153)*(1-P153)*(1-Q153))</f>
        <v>4.9382437499999998</v>
      </c>
      <c r="L153">
        <v>0.64600000000000002</v>
      </c>
      <c r="M153">
        <v>0.56000000000000005</v>
      </c>
      <c r="N153">
        <v>0.71</v>
      </c>
      <c r="O153">
        <v>0.27500000000000002</v>
      </c>
      <c r="P153">
        <v>0.27500000000000002</v>
      </c>
      <c r="Q153">
        <v>0</v>
      </c>
    </row>
    <row r="154" spans="2:17">
      <c r="C154" s="1" t="s">
        <v>422</v>
      </c>
      <c r="D154" t="s">
        <v>424</v>
      </c>
      <c r="E154">
        <v>0</v>
      </c>
      <c r="F154" t="str">
        <f t="shared" si="73"/>
        <v>MEDIUM</v>
      </c>
      <c r="G154">
        <f t="shared" si="74"/>
        <v>6.8</v>
      </c>
      <c r="H154">
        <f t="shared" si="75"/>
        <v>3.1410400000000003</v>
      </c>
      <c r="I154">
        <f t="shared" si="76"/>
        <v>1.1759999999999999</v>
      </c>
      <c r="J154">
        <f t="shared" si="77"/>
        <v>10.00084536</v>
      </c>
      <c r="L154">
        <v>0.39500000000000002</v>
      </c>
      <c r="M154">
        <v>0.56000000000000005</v>
      </c>
      <c r="N154">
        <v>0.71</v>
      </c>
      <c r="O154">
        <v>0.66</v>
      </c>
      <c r="P154">
        <v>0.66</v>
      </c>
      <c r="Q154">
        <v>0.66</v>
      </c>
    </row>
    <row r="155" spans="2:17">
      <c r="C155" s="1" t="s">
        <v>425</v>
      </c>
      <c r="D155" t="s">
        <v>126</v>
      </c>
      <c r="E155">
        <v>0</v>
      </c>
      <c r="F155" t="str">
        <f t="shared" si="73"/>
        <v>MEDIUM</v>
      </c>
      <c r="G155">
        <f t="shared" si="74"/>
        <v>6.8</v>
      </c>
      <c r="H155">
        <f t="shared" si="75"/>
        <v>3.1410400000000003</v>
      </c>
      <c r="I155">
        <f t="shared" si="76"/>
        <v>1.1759999999999999</v>
      </c>
      <c r="J155">
        <f t="shared" si="77"/>
        <v>10.00084536</v>
      </c>
      <c r="L155">
        <v>0.39500000000000002</v>
      </c>
      <c r="M155">
        <v>0.56000000000000005</v>
      </c>
      <c r="N155">
        <v>0.71</v>
      </c>
      <c r="O155">
        <v>0.66</v>
      </c>
      <c r="P155">
        <v>0.66</v>
      </c>
      <c r="Q155">
        <v>0.66</v>
      </c>
    </row>
    <row r="156" spans="2:17">
      <c r="C156" s="1" t="s">
        <v>426</v>
      </c>
      <c r="D156" t="s">
        <v>427</v>
      </c>
      <c r="E156">
        <v>0</v>
      </c>
      <c r="F156" t="str">
        <f t="shared" si="73"/>
        <v>MEDIUM</v>
      </c>
      <c r="G156">
        <f t="shared" si="74"/>
        <v>4.0999999999999996</v>
      </c>
      <c r="H156">
        <f t="shared" si="75"/>
        <v>5.1369920000000002</v>
      </c>
      <c r="I156">
        <f t="shared" si="76"/>
        <v>1.1759999999999999</v>
      </c>
      <c r="J156">
        <f>10.41*(1-(1-O156)*(1-P156)*(1-Q156))</f>
        <v>4.9382437499999998</v>
      </c>
      <c r="L156">
        <v>0.64600000000000002</v>
      </c>
      <c r="M156">
        <v>0.56000000000000005</v>
      </c>
      <c r="N156">
        <v>0.71</v>
      </c>
      <c r="O156">
        <v>0.27500000000000002</v>
      </c>
      <c r="P156">
        <v>0.27500000000000002</v>
      </c>
      <c r="Q156">
        <v>0</v>
      </c>
    </row>
  </sheetData>
  <phoneticPr fontId="7" type="noConversion"/>
  <conditionalFormatting sqref="A5">
    <cfRule type="expression" dxfId="14" priority="590">
      <formula>MATCH(A5, #REF!, 0)</formula>
    </cfRule>
  </conditionalFormatting>
  <conditionalFormatting sqref="B6">
    <cfRule type="expression" dxfId="12" priority="592">
      <formula>VLOOKUP(B6, #REF!, 1, FALSE) = B6</formula>
    </cfRule>
  </conditionalFormatting>
  <conditionalFormatting sqref="F8:F1024">
    <cfRule type="cellIs" dxfId="10" priority="1" operator="equal">
      <formula>"CRITICAL"</formula>
    </cfRule>
    <cfRule type="cellIs" dxfId="9" priority="2" operator="equal">
      <formula>"HIGH"</formula>
    </cfRule>
    <cfRule type="cellIs" dxfId="8" priority="3" operator="equal">
      <formula>"MEDIUM"</formula>
    </cfRule>
    <cfRule type="cellIs" dxfId="7" priority="4" operator="equal">
      <formula>"LOW"</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591" id="{834139B8-2D93-41DE-90D2-AEFCA322DCFC}">
            <xm:f>MATCH(BSI!A5, #REF!, 0)</xm:f>
            <x14:dxf>
              <fill>
                <patternFill>
                  <bgColor rgb="FF92D050"/>
                </patternFill>
              </fill>
            </x14:dxf>
          </x14:cfRule>
          <xm:sqref>A5</xm:sqref>
        </x14:conditionalFormatting>
        <x14:conditionalFormatting xmlns:xm="http://schemas.microsoft.com/office/excel/2006/main">
          <x14:cfRule type="expression" priority="5" id="{CC364B30-B4A2-46BB-B013-434D085A3C60}">
            <xm:f>MATCH(C6, 'Overall Matcher'!$G$3:$G$1071, 0)</xm:f>
            <x14:dxf>
              <fill>
                <patternFill>
                  <bgColor rgb="FF92D050"/>
                </patternFill>
              </fill>
            </x14:dxf>
          </x14:cfRule>
          <xm:sqref>C6:C156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952A-4FEF-4934-9FB7-2953AA453F7C}">
  <dimension ref="A1:C38"/>
  <sheetViews>
    <sheetView workbookViewId="0">
      <selection activeCell="C36" sqref="C36"/>
    </sheetView>
  </sheetViews>
  <sheetFormatPr defaultRowHeight="13.2"/>
  <cols>
    <col min="1" max="1" width="37.88671875" bestFit="1" customWidth="1"/>
    <col min="2" max="2" width="46" bestFit="1" customWidth="1"/>
    <col min="3" max="3" width="38.109375" bestFit="1" customWidth="1"/>
  </cols>
  <sheetData>
    <row r="1" spans="1:3">
      <c r="A1" t="s">
        <v>218</v>
      </c>
      <c r="B1" t="s">
        <v>428</v>
      </c>
    </row>
    <row r="2" spans="1:3">
      <c r="A2" t="s">
        <v>220</v>
      </c>
      <c r="B2">
        <v>1.2</v>
      </c>
    </row>
    <row r="4" spans="1:3" ht="18" thickBot="1">
      <c r="A4" s="4" t="s">
        <v>221</v>
      </c>
      <c r="B4" s="4" t="s">
        <v>218</v>
      </c>
      <c r="C4" s="4" t="s">
        <v>446</v>
      </c>
    </row>
    <row r="5" spans="1:3" ht="13.8" thickTop="1">
      <c r="A5" t="s">
        <v>429</v>
      </c>
    </row>
    <row r="6" spans="1:3">
      <c r="B6" t="s">
        <v>430</v>
      </c>
    </row>
    <row r="7" spans="1:3">
      <c r="B7" t="s">
        <v>146</v>
      </c>
    </row>
    <row r="8" spans="1:3">
      <c r="B8" t="s">
        <v>210</v>
      </c>
    </row>
    <row r="9" spans="1:3">
      <c r="B9" t="s">
        <v>431</v>
      </c>
    </row>
    <row r="10" spans="1:3">
      <c r="B10" t="s">
        <v>114</v>
      </c>
    </row>
    <row r="11" spans="1:3">
      <c r="B11" t="s">
        <v>432</v>
      </c>
    </row>
    <row r="12" spans="1:3">
      <c r="A12" t="s">
        <v>201</v>
      </c>
    </row>
    <row r="13" spans="1:3">
      <c r="B13" t="s">
        <v>167</v>
      </c>
    </row>
    <row r="14" spans="1:3">
      <c r="B14" t="s">
        <v>191</v>
      </c>
    </row>
    <row r="15" spans="1:3">
      <c r="B15" t="s">
        <v>171</v>
      </c>
    </row>
    <row r="16" spans="1:3">
      <c r="B16" t="s">
        <v>38</v>
      </c>
    </row>
    <row r="17" spans="1:3">
      <c r="C17" t="s">
        <v>433</v>
      </c>
    </row>
    <row r="18" spans="1:3">
      <c r="C18" t="s">
        <v>434</v>
      </c>
    </row>
    <row r="19" spans="1:3">
      <c r="B19" t="s">
        <v>435</v>
      </c>
    </row>
    <row r="20" spans="1:3">
      <c r="B20" t="s">
        <v>436</v>
      </c>
    </row>
    <row r="21" spans="1:3">
      <c r="B21" t="s">
        <v>99</v>
      </c>
    </row>
    <row r="22" spans="1:3">
      <c r="B22" t="s">
        <v>198</v>
      </c>
    </row>
    <row r="23" spans="1:3">
      <c r="A23" t="s">
        <v>112</v>
      </c>
    </row>
    <row r="24" spans="1:3">
      <c r="B24" t="s">
        <v>35</v>
      </c>
    </row>
    <row r="25" spans="1:3">
      <c r="B25" t="s">
        <v>32</v>
      </c>
    </row>
    <row r="26" spans="1:3">
      <c r="A26" t="s">
        <v>437</v>
      </c>
    </row>
    <row r="27" spans="1:3">
      <c r="B27" t="s">
        <v>5</v>
      </c>
    </row>
    <row r="28" spans="1:3">
      <c r="C28" t="s">
        <v>33</v>
      </c>
    </row>
    <row r="29" spans="1:3">
      <c r="C29" t="s">
        <v>203</v>
      </c>
    </row>
    <row r="30" spans="1:3">
      <c r="C30" t="s">
        <v>132</v>
      </c>
    </row>
    <row r="31" spans="1:3">
      <c r="C31" t="s">
        <v>438</v>
      </c>
    </row>
    <row r="32" spans="1:3">
      <c r="C32" t="s">
        <v>439</v>
      </c>
    </row>
    <row r="33" spans="1:3">
      <c r="C33" t="s">
        <v>440</v>
      </c>
    </row>
    <row r="34" spans="1:3">
      <c r="C34" t="s">
        <v>441</v>
      </c>
    </row>
    <row r="35" spans="1:3">
      <c r="B35" t="s">
        <v>442</v>
      </c>
    </row>
    <row r="36" spans="1:3">
      <c r="C36" t="s">
        <v>443</v>
      </c>
    </row>
    <row r="37" spans="1:3">
      <c r="B37" t="s">
        <v>444</v>
      </c>
    </row>
    <row r="38" spans="1:3">
      <c r="A38" t="s">
        <v>445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6FBFDBB-FB97-4E76-A6C6-DD8E870ADB7D}">
            <xm:f>MATCH(A5, 'Overall Matcher'!$H$3:$H$1071, 0)</xm:f>
            <x14:dxf>
              <fill>
                <patternFill>
                  <bgColor rgb="FF92D050"/>
                </patternFill>
              </fill>
            </x14:dxf>
          </x14:cfRule>
          <xm:sqref>A5:C38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3D05E-270B-4A8D-BDA6-508E9B33BFDF}">
  <dimension ref="A1:F96"/>
  <sheetViews>
    <sheetView topLeftCell="A19" workbookViewId="0">
      <selection activeCell="F87" sqref="F87"/>
    </sheetView>
  </sheetViews>
  <sheetFormatPr defaultRowHeight="13.2"/>
  <cols>
    <col min="1" max="1" width="15.44140625" bestFit="1" customWidth="1"/>
    <col min="2" max="2" width="10.6640625" bestFit="1" customWidth="1"/>
    <col min="3" max="3" width="18" customWidth="1"/>
    <col min="4" max="4" width="93.21875" bestFit="1" customWidth="1"/>
    <col min="5" max="5" width="12.6640625" bestFit="1" customWidth="1"/>
  </cols>
  <sheetData>
    <row r="1" spans="1:5">
      <c r="A1" t="s">
        <v>218</v>
      </c>
      <c r="B1" s="29" t="s">
        <v>448</v>
      </c>
      <c r="C1" s="29"/>
      <c r="D1" s="29"/>
    </row>
    <row r="2" spans="1:5">
      <c r="A2" t="s">
        <v>220</v>
      </c>
      <c r="B2" t="s">
        <v>447</v>
      </c>
    </row>
    <row r="5" spans="1:5" ht="18" thickBot="1">
      <c r="A5" s="4" t="s">
        <v>218</v>
      </c>
      <c r="B5" s="4" t="s">
        <v>489</v>
      </c>
      <c r="C5" s="4" t="s">
        <v>490</v>
      </c>
      <c r="D5" s="4" t="s">
        <v>9</v>
      </c>
      <c r="E5" s="4" t="s">
        <v>227</v>
      </c>
    </row>
    <row r="6" spans="1:5" ht="13.8" thickTop="1">
      <c r="A6" t="s">
        <v>449</v>
      </c>
      <c r="B6" t="s">
        <v>450</v>
      </c>
      <c r="C6" t="s">
        <v>451</v>
      </c>
      <c r="D6" t="s">
        <v>455</v>
      </c>
      <c r="E6">
        <v>0</v>
      </c>
    </row>
    <row r="7" spans="1:5">
      <c r="A7" t="s">
        <v>452</v>
      </c>
      <c r="B7" t="s">
        <v>453</v>
      </c>
      <c r="C7" t="s">
        <v>454</v>
      </c>
      <c r="D7" t="s">
        <v>456</v>
      </c>
      <c r="E7">
        <v>0</v>
      </c>
    </row>
    <row r="8" spans="1:5">
      <c r="A8" t="s">
        <v>457</v>
      </c>
      <c r="B8" t="s">
        <v>458</v>
      </c>
      <c r="C8" t="s">
        <v>459</v>
      </c>
      <c r="D8" t="s">
        <v>460</v>
      </c>
      <c r="E8">
        <v>0</v>
      </c>
    </row>
    <row r="9" spans="1:5">
      <c r="A9" t="s">
        <v>461</v>
      </c>
      <c r="B9" t="s">
        <v>462</v>
      </c>
      <c r="C9" t="s">
        <v>463</v>
      </c>
      <c r="D9" t="s">
        <v>467</v>
      </c>
      <c r="E9">
        <v>0</v>
      </c>
    </row>
    <row r="10" spans="1:5">
      <c r="A10" t="s">
        <v>464</v>
      </c>
      <c r="B10" t="s">
        <v>465</v>
      </c>
      <c r="C10" t="s">
        <v>466</v>
      </c>
      <c r="D10" t="s">
        <v>468</v>
      </c>
      <c r="E10">
        <v>0</v>
      </c>
    </row>
    <row r="11" spans="1:5">
      <c r="A11" t="s">
        <v>469</v>
      </c>
      <c r="B11" t="s">
        <v>470</v>
      </c>
      <c r="C11" t="s">
        <v>471</v>
      </c>
      <c r="D11" t="s">
        <v>472</v>
      </c>
      <c r="E11">
        <v>0</v>
      </c>
    </row>
    <row r="12" spans="1:5">
      <c r="A12" t="s">
        <v>473</v>
      </c>
      <c r="B12" t="s">
        <v>474</v>
      </c>
      <c r="C12" t="s">
        <v>475</v>
      </c>
      <c r="D12" t="s">
        <v>476</v>
      </c>
      <c r="E12">
        <v>0</v>
      </c>
    </row>
    <row r="13" spans="1:5">
      <c r="A13" t="s">
        <v>477</v>
      </c>
      <c r="B13" t="s">
        <v>478</v>
      </c>
      <c r="C13" t="s">
        <v>479</v>
      </c>
      <c r="D13" t="s">
        <v>480</v>
      </c>
      <c r="E13">
        <v>0</v>
      </c>
    </row>
    <row r="14" spans="1:5">
      <c r="A14" t="s">
        <v>481</v>
      </c>
      <c r="B14" t="s">
        <v>482</v>
      </c>
      <c r="C14" t="s">
        <v>483</v>
      </c>
      <c r="D14" t="s">
        <v>484</v>
      </c>
      <c r="E14">
        <v>0</v>
      </c>
    </row>
    <row r="15" spans="1:5">
      <c r="A15" t="s">
        <v>485</v>
      </c>
      <c r="B15" t="s">
        <v>486</v>
      </c>
      <c r="C15" t="s">
        <v>487</v>
      </c>
      <c r="D15" t="s">
        <v>488</v>
      </c>
      <c r="E15">
        <v>0</v>
      </c>
    </row>
    <row r="16" spans="1:5">
      <c r="A16" t="s">
        <v>491</v>
      </c>
      <c r="B16" t="s">
        <v>492</v>
      </c>
      <c r="C16" t="s">
        <v>493</v>
      </c>
      <c r="D16" t="s">
        <v>494</v>
      </c>
      <c r="E16">
        <v>0</v>
      </c>
    </row>
    <row r="17" spans="1:5">
      <c r="A17" t="s">
        <v>495</v>
      </c>
      <c r="B17" t="s">
        <v>496</v>
      </c>
      <c r="C17" t="s">
        <v>497</v>
      </c>
      <c r="D17" t="s">
        <v>498</v>
      </c>
      <c r="E17">
        <v>0</v>
      </c>
    </row>
    <row r="18" spans="1:5">
      <c r="A18" t="s">
        <v>499</v>
      </c>
      <c r="B18" t="s">
        <v>500</v>
      </c>
      <c r="C18" t="s">
        <v>501</v>
      </c>
      <c r="D18" t="s">
        <v>502</v>
      </c>
      <c r="E18">
        <v>0</v>
      </c>
    </row>
    <row r="19" spans="1:5">
      <c r="A19" t="s">
        <v>503</v>
      </c>
      <c r="B19" t="s">
        <v>504</v>
      </c>
      <c r="C19" t="s">
        <v>505</v>
      </c>
      <c r="D19" t="s">
        <v>506</v>
      </c>
      <c r="E19">
        <v>0</v>
      </c>
    </row>
    <row r="20" spans="1:5">
      <c r="A20" t="s">
        <v>507</v>
      </c>
      <c r="B20" t="s">
        <v>508</v>
      </c>
      <c r="C20" t="s">
        <v>509</v>
      </c>
      <c r="D20" t="s">
        <v>510</v>
      </c>
      <c r="E20">
        <v>0</v>
      </c>
    </row>
    <row r="21" spans="1:5">
      <c r="A21" t="s">
        <v>511</v>
      </c>
      <c r="B21" t="s">
        <v>512</v>
      </c>
      <c r="C21" t="s">
        <v>513</v>
      </c>
      <c r="D21" t="s">
        <v>514</v>
      </c>
      <c r="E21">
        <v>0</v>
      </c>
    </row>
    <row r="22" spans="1:5">
      <c r="A22" t="s">
        <v>515</v>
      </c>
      <c r="B22" t="s">
        <v>516</v>
      </c>
      <c r="C22" t="s">
        <v>517</v>
      </c>
      <c r="D22" t="s">
        <v>518</v>
      </c>
      <c r="E22">
        <v>0</v>
      </c>
    </row>
    <row r="23" spans="1:5">
      <c r="A23" t="s">
        <v>519</v>
      </c>
      <c r="B23" t="s">
        <v>520</v>
      </c>
      <c r="C23" t="s">
        <v>521</v>
      </c>
      <c r="D23" t="s">
        <v>68</v>
      </c>
      <c r="E23">
        <v>0</v>
      </c>
    </row>
    <row r="24" spans="1:5">
      <c r="A24" t="s">
        <v>522</v>
      </c>
      <c r="B24" t="s">
        <v>523</v>
      </c>
      <c r="C24" t="s">
        <v>524</v>
      </c>
      <c r="D24" t="s">
        <v>525</v>
      </c>
      <c r="E24">
        <v>0</v>
      </c>
    </row>
    <row r="25" spans="1:5">
      <c r="A25" t="s">
        <v>526</v>
      </c>
      <c r="B25" t="s">
        <v>527</v>
      </c>
      <c r="C25" t="s">
        <v>528</v>
      </c>
      <c r="D25" t="s">
        <v>529</v>
      </c>
      <c r="E25">
        <v>0</v>
      </c>
    </row>
    <row r="26" spans="1:5">
      <c r="A26" t="s">
        <v>530</v>
      </c>
      <c r="B26" t="s">
        <v>531</v>
      </c>
      <c r="C26" t="s">
        <v>532</v>
      </c>
      <c r="D26" t="s">
        <v>533</v>
      </c>
      <c r="E26">
        <v>0</v>
      </c>
    </row>
    <row r="27" spans="1:5">
      <c r="A27" t="s">
        <v>534</v>
      </c>
      <c r="B27" t="s">
        <v>535</v>
      </c>
      <c r="C27" t="s">
        <v>536</v>
      </c>
      <c r="D27" t="s">
        <v>537</v>
      </c>
      <c r="E27">
        <v>0</v>
      </c>
    </row>
    <row r="28" spans="1:5">
      <c r="A28" t="s">
        <v>538</v>
      </c>
      <c r="B28" t="s">
        <v>539</v>
      </c>
      <c r="C28" t="s">
        <v>540</v>
      </c>
      <c r="D28" t="s">
        <v>541</v>
      </c>
      <c r="E28">
        <v>0</v>
      </c>
    </row>
    <row r="29" spans="1:5">
      <c r="A29" t="s">
        <v>542</v>
      </c>
      <c r="B29" t="s">
        <v>543</v>
      </c>
      <c r="C29" t="s">
        <v>544</v>
      </c>
      <c r="D29" t="s">
        <v>545</v>
      </c>
      <c r="E29">
        <v>0</v>
      </c>
    </row>
    <row r="30" spans="1:5">
      <c r="A30" t="s">
        <v>546</v>
      </c>
      <c r="B30" t="s">
        <v>547</v>
      </c>
      <c r="C30" t="s">
        <v>548</v>
      </c>
      <c r="D30" t="s">
        <v>549</v>
      </c>
      <c r="E30">
        <v>0</v>
      </c>
    </row>
    <row r="31" spans="1:5">
      <c r="A31" t="s">
        <v>550</v>
      </c>
      <c r="B31" t="s">
        <v>551</v>
      </c>
      <c r="C31" t="s">
        <v>552</v>
      </c>
      <c r="D31" t="s">
        <v>553</v>
      </c>
      <c r="E31">
        <v>0</v>
      </c>
    </row>
    <row r="32" spans="1:5">
      <c r="A32" t="s">
        <v>554</v>
      </c>
      <c r="B32" t="s">
        <v>555</v>
      </c>
      <c r="C32" t="s">
        <v>556</v>
      </c>
      <c r="D32" t="s">
        <v>557</v>
      </c>
      <c r="E32">
        <v>0</v>
      </c>
    </row>
    <row r="33" spans="1:6">
      <c r="A33" t="s">
        <v>558</v>
      </c>
      <c r="B33" t="s">
        <v>559</v>
      </c>
      <c r="C33" t="s">
        <v>560</v>
      </c>
      <c r="D33" t="s">
        <v>561</v>
      </c>
      <c r="E33">
        <v>0</v>
      </c>
    </row>
    <row r="34" spans="1:6">
      <c r="A34" t="s">
        <v>562</v>
      </c>
      <c r="B34" t="s">
        <v>563</v>
      </c>
      <c r="C34" t="s">
        <v>564</v>
      </c>
      <c r="D34" t="s">
        <v>565</v>
      </c>
      <c r="E34">
        <v>0</v>
      </c>
      <c r="F34" t="s">
        <v>723</v>
      </c>
    </row>
    <row r="35" spans="1:6">
      <c r="A35" t="s">
        <v>566</v>
      </c>
      <c r="B35" t="s">
        <v>567</v>
      </c>
      <c r="C35" t="s">
        <v>568</v>
      </c>
      <c r="D35" t="s">
        <v>569</v>
      </c>
      <c r="E35">
        <v>0</v>
      </c>
      <c r="F35" t="s">
        <v>775</v>
      </c>
    </row>
    <row r="36" spans="1:6">
      <c r="A36" t="s">
        <v>570</v>
      </c>
      <c r="B36" t="s">
        <v>571</v>
      </c>
      <c r="C36" t="s">
        <v>572</v>
      </c>
      <c r="D36" t="s">
        <v>573</v>
      </c>
      <c r="E36">
        <v>0</v>
      </c>
      <c r="F36" t="s">
        <v>771</v>
      </c>
    </row>
    <row r="37" spans="1:6">
      <c r="A37" t="s">
        <v>574</v>
      </c>
      <c r="B37" t="s">
        <v>575</v>
      </c>
      <c r="C37" t="s">
        <v>576</v>
      </c>
      <c r="D37" t="s">
        <v>577</v>
      </c>
      <c r="E37">
        <v>0</v>
      </c>
    </row>
    <row r="38" spans="1:6">
      <c r="A38" t="s">
        <v>578</v>
      </c>
      <c r="B38" t="s">
        <v>579</v>
      </c>
      <c r="C38" t="s">
        <v>580</v>
      </c>
      <c r="D38" t="s">
        <v>581</v>
      </c>
      <c r="E38">
        <v>0</v>
      </c>
    </row>
    <row r="39" spans="1:6">
      <c r="A39" t="s">
        <v>582</v>
      </c>
      <c r="B39" t="s">
        <v>583</v>
      </c>
      <c r="C39" t="s">
        <v>584</v>
      </c>
      <c r="D39" t="s">
        <v>585</v>
      </c>
      <c r="E39">
        <v>0</v>
      </c>
    </row>
    <row r="40" spans="1:6">
      <c r="A40" t="s">
        <v>586</v>
      </c>
      <c r="B40" t="s">
        <v>587</v>
      </c>
      <c r="C40" t="s">
        <v>588</v>
      </c>
      <c r="D40" t="s">
        <v>589</v>
      </c>
      <c r="E40">
        <v>0</v>
      </c>
    </row>
    <row r="41" spans="1:6">
      <c r="A41" t="s">
        <v>590</v>
      </c>
      <c r="B41" t="s">
        <v>591</v>
      </c>
      <c r="C41" t="s">
        <v>592</v>
      </c>
      <c r="D41" t="s">
        <v>593</v>
      </c>
      <c r="E41">
        <v>0</v>
      </c>
    </row>
    <row r="42" spans="1:6">
      <c r="A42" t="s">
        <v>594</v>
      </c>
      <c r="B42" t="s">
        <v>595</v>
      </c>
      <c r="C42" t="s">
        <v>596</v>
      </c>
      <c r="D42" t="s">
        <v>597</v>
      </c>
      <c r="E42">
        <v>0</v>
      </c>
    </row>
    <row r="43" spans="1:6">
      <c r="A43" t="s">
        <v>598</v>
      </c>
      <c r="B43" t="s">
        <v>599</v>
      </c>
      <c r="C43" t="s">
        <v>600</v>
      </c>
      <c r="D43" t="s">
        <v>601</v>
      </c>
      <c r="E43">
        <v>0</v>
      </c>
    </row>
    <row r="44" spans="1:6">
      <c r="A44" t="s">
        <v>602</v>
      </c>
      <c r="B44" t="s">
        <v>603</v>
      </c>
      <c r="C44" t="s">
        <v>604</v>
      </c>
      <c r="D44" t="s">
        <v>605</v>
      </c>
      <c r="E44">
        <v>0</v>
      </c>
    </row>
    <row r="45" spans="1:6">
      <c r="A45" t="s">
        <v>606</v>
      </c>
      <c r="B45" t="s">
        <v>607</v>
      </c>
      <c r="C45" t="s">
        <v>608</v>
      </c>
      <c r="D45" t="s">
        <v>609</v>
      </c>
      <c r="E45">
        <v>0</v>
      </c>
    </row>
    <row r="46" spans="1:6">
      <c r="A46" t="s">
        <v>610</v>
      </c>
      <c r="B46" t="s">
        <v>611</v>
      </c>
      <c r="C46" t="s">
        <v>612</v>
      </c>
      <c r="D46" t="s">
        <v>613</v>
      </c>
      <c r="E46">
        <v>0</v>
      </c>
    </row>
    <row r="47" spans="1:6">
      <c r="A47" t="s">
        <v>614</v>
      </c>
      <c r="B47" t="s">
        <v>615</v>
      </c>
      <c r="C47" t="s">
        <v>616</v>
      </c>
      <c r="D47" t="s">
        <v>617</v>
      </c>
      <c r="E47">
        <v>0</v>
      </c>
    </row>
    <row r="48" spans="1:6">
      <c r="A48" t="s">
        <v>618</v>
      </c>
      <c r="B48" t="s">
        <v>619</v>
      </c>
      <c r="C48" t="s">
        <v>620</v>
      </c>
      <c r="D48" t="s">
        <v>621</v>
      </c>
      <c r="E48">
        <v>0</v>
      </c>
    </row>
    <row r="49" spans="1:5">
      <c r="A49" t="s">
        <v>622</v>
      </c>
      <c r="B49" t="s">
        <v>623</v>
      </c>
      <c r="C49" t="s">
        <v>624</v>
      </c>
      <c r="D49" t="s">
        <v>625</v>
      </c>
      <c r="E49">
        <v>0</v>
      </c>
    </row>
    <row r="50" spans="1:5">
      <c r="A50" t="s">
        <v>626</v>
      </c>
      <c r="B50" t="s">
        <v>627</v>
      </c>
      <c r="C50" t="s">
        <v>628</v>
      </c>
      <c r="D50" t="s">
        <v>629</v>
      </c>
      <c r="E50">
        <v>0</v>
      </c>
    </row>
    <row r="51" spans="1:5">
      <c r="A51" t="s">
        <v>630</v>
      </c>
      <c r="B51" t="s">
        <v>631</v>
      </c>
      <c r="C51" t="s">
        <v>632</v>
      </c>
      <c r="D51" t="s">
        <v>633</v>
      </c>
      <c r="E51">
        <v>0</v>
      </c>
    </row>
    <row r="52" spans="1:5">
      <c r="A52" t="s">
        <v>634</v>
      </c>
      <c r="B52" t="s">
        <v>635</v>
      </c>
      <c r="C52" t="s">
        <v>636</v>
      </c>
      <c r="D52" t="s">
        <v>659</v>
      </c>
      <c r="E52">
        <v>0</v>
      </c>
    </row>
    <row r="53" spans="1:5">
      <c r="A53" t="s">
        <v>637</v>
      </c>
      <c r="B53" t="s">
        <v>638</v>
      </c>
      <c r="C53" t="s">
        <v>639</v>
      </c>
      <c r="D53" t="s">
        <v>640</v>
      </c>
      <c r="E53">
        <v>0</v>
      </c>
    </row>
    <row r="54" spans="1:5">
      <c r="A54" t="s">
        <v>641</v>
      </c>
      <c r="B54" t="s">
        <v>642</v>
      </c>
      <c r="C54" t="s">
        <v>643</v>
      </c>
      <c r="D54" t="s">
        <v>644</v>
      </c>
      <c r="E54">
        <v>0</v>
      </c>
    </row>
    <row r="55" spans="1:5">
      <c r="A55" t="s">
        <v>645</v>
      </c>
      <c r="B55" t="s">
        <v>646</v>
      </c>
      <c r="C55" t="s">
        <v>647</v>
      </c>
      <c r="D55" t="s">
        <v>658</v>
      </c>
      <c r="E55">
        <v>0</v>
      </c>
    </row>
    <row r="56" spans="1:5">
      <c r="A56" t="s">
        <v>648</v>
      </c>
      <c r="B56" t="s">
        <v>649</v>
      </c>
      <c r="C56" t="s">
        <v>650</v>
      </c>
      <c r="D56" t="s">
        <v>669</v>
      </c>
      <c r="E56">
        <v>0</v>
      </c>
    </row>
    <row r="57" spans="1:5">
      <c r="A57" t="s">
        <v>651</v>
      </c>
      <c r="B57" t="s">
        <v>652</v>
      </c>
      <c r="C57" t="s">
        <v>653</v>
      </c>
      <c r="D57" t="s">
        <v>668</v>
      </c>
      <c r="E57">
        <v>0</v>
      </c>
    </row>
    <row r="58" spans="1:5">
      <c r="A58" t="s">
        <v>654</v>
      </c>
      <c r="B58" t="s">
        <v>655</v>
      </c>
      <c r="C58" t="s">
        <v>656</v>
      </c>
      <c r="D58" t="s">
        <v>657</v>
      </c>
      <c r="E58">
        <v>0</v>
      </c>
    </row>
    <row r="59" spans="1:5">
      <c r="A59" t="s">
        <v>660</v>
      </c>
      <c r="B59" t="s">
        <v>661</v>
      </c>
      <c r="C59" t="s">
        <v>662</v>
      </c>
      <c r="D59" t="s">
        <v>667</v>
      </c>
      <c r="E59">
        <v>0</v>
      </c>
    </row>
    <row r="60" spans="1:5">
      <c r="A60" t="s">
        <v>663</v>
      </c>
      <c r="B60" t="s">
        <v>664</v>
      </c>
      <c r="C60" t="s">
        <v>665</v>
      </c>
      <c r="D60" t="s">
        <v>670</v>
      </c>
      <c r="E60">
        <v>0</v>
      </c>
    </row>
    <row r="61" spans="1:5">
      <c r="A61" t="s">
        <v>666</v>
      </c>
      <c r="B61" t="s">
        <v>671</v>
      </c>
      <c r="C61" t="s">
        <v>672</v>
      </c>
      <c r="D61" t="s">
        <v>673</v>
      </c>
      <c r="E61">
        <v>0</v>
      </c>
    </row>
    <row r="62" spans="1:5">
      <c r="A62" t="s">
        <v>674</v>
      </c>
      <c r="B62" t="s">
        <v>675</v>
      </c>
      <c r="C62" t="s">
        <v>676</v>
      </c>
      <c r="D62" t="s">
        <v>677</v>
      </c>
      <c r="E62">
        <v>0</v>
      </c>
    </row>
    <row r="63" spans="1:5">
      <c r="A63" t="s">
        <v>678</v>
      </c>
      <c r="B63" t="s">
        <v>679</v>
      </c>
      <c r="C63" t="s">
        <v>680</v>
      </c>
      <c r="D63" t="s">
        <v>681</v>
      </c>
      <c r="E63">
        <v>0</v>
      </c>
    </row>
    <row r="64" spans="1:5">
      <c r="A64" t="s">
        <v>682</v>
      </c>
      <c r="B64" t="s">
        <v>683</v>
      </c>
      <c r="C64" t="s">
        <v>684</v>
      </c>
      <c r="D64" t="s">
        <v>685</v>
      </c>
      <c r="E64">
        <v>0</v>
      </c>
    </row>
    <row r="65" spans="1:6">
      <c r="A65" t="s">
        <v>686</v>
      </c>
      <c r="B65" t="s">
        <v>687</v>
      </c>
      <c r="C65" t="s">
        <v>688</v>
      </c>
      <c r="D65" t="s">
        <v>689</v>
      </c>
      <c r="E65">
        <v>0</v>
      </c>
    </row>
    <row r="66" spans="1:6">
      <c r="A66" t="s">
        <v>690</v>
      </c>
      <c r="B66" t="s">
        <v>691</v>
      </c>
      <c r="C66" t="s">
        <v>692</v>
      </c>
      <c r="D66" t="s">
        <v>693</v>
      </c>
      <c r="E66">
        <v>0</v>
      </c>
    </row>
    <row r="67" spans="1:6">
      <c r="A67" t="s">
        <v>694</v>
      </c>
      <c r="B67" t="s">
        <v>695</v>
      </c>
      <c r="C67" t="s">
        <v>696</v>
      </c>
      <c r="D67" t="s">
        <v>697</v>
      </c>
      <c r="E67">
        <v>0</v>
      </c>
    </row>
    <row r="68" spans="1:6">
      <c r="A68" t="s">
        <v>698</v>
      </c>
      <c r="B68" t="s">
        <v>699</v>
      </c>
      <c r="C68" t="s">
        <v>700</v>
      </c>
      <c r="D68" t="s">
        <v>701</v>
      </c>
      <c r="E68">
        <v>0</v>
      </c>
    </row>
    <row r="69" spans="1:6">
      <c r="A69" t="s">
        <v>702</v>
      </c>
      <c r="B69" t="s">
        <v>703</v>
      </c>
      <c r="C69" t="s">
        <v>704</v>
      </c>
      <c r="D69" t="s">
        <v>705</v>
      </c>
      <c r="E69">
        <v>0</v>
      </c>
    </row>
    <row r="70" spans="1:6">
      <c r="A70" t="s">
        <v>706</v>
      </c>
      <c r="B70" t="s">
        <v>707</v>
      </c>
      <c r="C70" t="s">
        <v>708</v>
      </c>
      <c r="D70" t="s">
        <v>709</v>
      </c>
      <c r="E70">
        <v>0</v>
      </c>
    </row>
    <row r="71" spans="1:6">
      <c r="A71" t="s">
        <v>710</v>
      </c>
      <c r="B71" t="s">
        <v>711</v>
      </c>
      <c r="C71" t="s">
        <v>712</v>
      </c>
      <c r="D71" t="s">
        <v>713</v>
      </c>
      <c r="E71">
        <v>0</v>
      </c>
    </row>
    <row r="72" spans="1:6">
      <c r="A72" t="s">
        <v>714</v>
      </c>
      <c r="B72" t="s">
        <v>715</v>
      </c>
      <c r="C72" t="s">
        <v>716</v>
      </c>
      <c r="D72" t="s">
        <v>717</v>
      </c>
      <c r="E72">
        <v>0</v>
      </c>
    </row>
    <row r="73" spans="1:6">
      <c r="A73" t="s">
        <v>718</v>
      </c>
      <c r="B73" t="s">
        <v>719</v>
      </c>
      <c r="C73" t="s">
        <v>720</v>
      </c>
      <c r="D73" t="s">
        <v>721</v>
      </c>
      <c r="E73">
        <v>0</v>
      </c>
    </row>
    <row r="74" spans="1:6">
      <c r="A74" t="s">
        <v>722</v>
      </c>
      <c r="B74" t="s">
        <v>723</v>
      </c>
      <c r="C74" t="s">
        <v>724</v>
      </c>
      <c r="D74" t="s">
        <v>725</v>
      </c>
      <c r="E74">
        <v>0</v>
      </c>
      <c r="F74" t="s">
        <v>563</v>
      </c>
    </row>
    <row r="75" spans="1:6">
      <c r="A75" t="s">
        <v>726</v>
      </c>
      <c r="B75" t="s">
        <v>727</v>
      </c>
      <c r="C75" t="s">
        <v>728</v>
      </c>
      <c r="D75" t="s">
        <v>729</v>
      </c>
      <c r="E75">
        <v>0</v>
      </c>
    </row>
    <row r="76" spans="1:6">
      <c r="A76" t="s">
        <v>730</v>
      </c>
      <c r="B76" t="s">
        <v>731</v>
      </c>
      <c r="C76" t="s">
        <v>732</v>
      </c>
      <c r="D76" t="s">
        <v>733</v>
      </c>
      <c r="E76">
        <v>0</v>
      </c>
    </row>
    <row r="77" spans="1:6">
      <c r="A77" t="s">
        <v>734</v>
      </c>
      <c r="B77" t="s">
        <v>735</v>
      </c>
      <c r="C77" t="s">
        <v>736</v>
      </c>
      <c r="D77" t="s">
        <v>737</v>
      </c>
      <c r="E77">
        <v>0</v>
      </c>
    </row>
    <row r="78" spans="1:6">
      <c r="A78" t="s">
        <v>738</v>
      </c>
      <c r="B78" t="s">
        <v>739</v>
      </c>
      <c r="C78" t="s">
        <v>740</v>
      </c>
      <c r="D78" t="s">
        <v>741</v>
      </c>
      <c r="E78">
        <v>0</v>
      </c>
    </row>
    <row r="79" spans="1:6">
      <c r="A79" t="s">
        <v>742</v>
      </c>
      <c r="B79" t="s">
        <v>743</v>
      </c>
      <c r="C79" t="s">
        <v>744</v>
      </c>
      <c r="D79" t="s">
        <v>745</v>
      </c>
      <c r="E79">
        <v>0</v>
      </c>
    </row>
    <row r="80" spans="1:6">
      <c r="A80" t="s">
        <v>746</v>
      </c>
      <c r="B80" t="s">
        <v>747</v>
      </c>
      <c r="C80" t="s">
        <v>748</v>
      </c>
      <c r="D80" t="s">
        <v>749</v>
      </c>
      <c r="E80">
        <v>0</v>
      </c>
    </row>
    <row r="81" spans="1:6">
      <c r="A81" t="s">
        <v>750</v>
      </c>
      <c r="B81" t="s">
        <v>751</v>
      </c>
      <c r="C81" t="s">
        <v>752</v>
      </c>
      <c r="D81" t="s">
        <v>753</v>
      </c>
      <c r="E81">
        <v>0</v>
      </c>
    </row>
    <row r="82" spans="1:6">
      <c r="A82" t="s">
        <v>754</v>
      </c>
      <c r="B82" t="s">
        <v>755</v>
      </c>
      <c r="C82" t="s">
        <v>756</v>
      </c>
      <c r="D82" t="s">
        <v>757</v>
      </c>
      <c r="E82">
        <v>0</v>
      </c>
    </row>
    <row r="83" spans="1:6">
      <c r="A83" t="s">
        <v>758</v>
      </c>
      <c r="B83" t="s">
        <v>759</v>
      </c>
      <c r="C83" t="s">
        <v>760</v>
      </c>
      <c r="D83" t="s">
        <v>761</v>
      </c>
      <c r="E83">
        <v>0</v>
      </c>
    </row>
    <row r="84" spans="1:6">
      <c r="A84" t="s">
        <v>762</v>
      </c>
      <c r="B84" t="s">
        <v>763</v>
      </c>
      <c r="C84" t="s">
        <v>764</v>
      </c>
      <c r="D84" t="s">
        <v>765</v>
      </c>
      <c r="E84">
        <v>0</v>
      </c>
    </row>
    <row r="85" spans="1:6">
      <c r="A85" t="s">
        <v>766</v>
      </c>
      <c r="B85" t="s">
        <v>767</v>
      </c>
      <c r="C85" t="s">
        <v>768</v>
      </c>
      <c r="D85" t="s">
        <v>769</v>
      </c>
      <c r="E85">
        <v>0</v>
      </c>
    </row>
    <row r="86" spans="1:6">
      <c r="A86" t="s">
        <v>770</v>
      </c>
      <c r="B86" t="s">
        <v>771</v>
      </c>
      <c r="C86" t="s">
        <v>772</v>
      </c>
      <c r="D86" t="s">
        <v>773</v>
      </c>
      <c r="E86">
        <v>0</v>
      </c>
      <c r="F86" t="s">
        <v>571</v>
      </c>
    </row>
    <row r="87" spans="1:6">
      <c r="A87" t="s">
        <v>774</v>
      </c>
      <c r="B87" t="s">
        <v>775</v>
      </c>
      <c r="C87" t="s">
        <v>776</v>
      </c>
      <c r="D87" t="s">
        <v>777</v>
      </c>
      <c r="E87">
        <v>0</v>
      </c>
      <c r="F87" t="s">
        <v>567</v>
      </c>
    </row>
    <row r="88" spans="1:6">
      <c r="A88" t="s">
        <v>778</v>
      </c>
      <c r="B88" t="s">
        <v>779</v>
      </c>
      <c r="C88" t="s">
        <v>780</v>
      </c>
      <c r="D88" t="s">
        <v>781</v>
      </c>
      <c r="E88">
        <v>0</v>
      </c>
    </row>
    <row r="89" spans="1:6">
      <c r="A89" t="s">
        <v>782</v>
      </c>
      <c r="B89" t="s">
        <v>783</v>
      </c>
      <c r="C89" t="s">
        <v>784</v>
      </c>
      <c r="D89" t="s">
        <v>785</v>
      </c>
      <c r="E89">
        <v>0</v>
      </c>
    </row>
    <row r="90" spans="1:6">
      <c r="A90" t="s">
        <v>786</v>
      </c>
      <c r="B90" t="s">
        <v>787</v>
      </c>
      <c r="C90" t="s">
        <v>788</v>
      </c>
      <c r="D90" t="s">
        <v>789</v>
      </c>
      <c r="E90">
        <v>0</v>
      </c>
    </row>
    <row r="91" spans="1:6">
      <c r="A91" t="s">
        <v>790</v>
      </c>
      <c r="B91" t="s">
        <v>791</v>
      </c>
      <c r="C91" t="s">
        <v>792</v>
      </c>
      <c r="D91" t="s">
        <v>793</v>
      </c>
      <c r="E91">
        <v>0</v>
      </c>
    </row>
    <row r="92" spans="1:6">
      <c r="A92" t="s">
        <v>794</v>
      </c>
      <c r="B92" t="s">
        <v>795</v>
      </c>
      <c r="C92" t="s">
        <v>797</v>
      </c>
      <c r="D92" t="s">
        <v>796</v>
      </c>
      <c r="E92">
        <v>0</v>
      </c>
    </row>
    <row r="93" spans="1:6">
      <c r="A93" t="s">
        <v>798</v>
      </c>
      <c r="B93" t="s">
        <v>799</v>
      </c>
      <c r="C93" t="s">
        <v>800</v>
      </c>
      <c r="D93" t="s">
        <v>801</v>
      </c>
      <c r="E93">
        <v>0</v>
      </c>
    </row>
    <row r="94" spans="1:6">
      <c r="A94" t="s">
        <v>802</v>
      </c>
      <c r="B94" t="s">
        <v>803</v>
      </c>
      <c r="C94" t="s">
        <v>804</v>
      </c>
      <c r="D94" t="s">
        <v>805</v>
      </c>
      <c r="E94">
        <v>0</v>
      </c>
    </row>
    <row r="95" spans="1:6">
      <c r="A95" t="s">
        <v>806</v>
      </c>
      <c r="B95" t="s">
        <v>807</v>
      </c>
      <c r="C95" t="s">
        <v>808</v>
      </c>
      <c r="D95" t="s">
        <v>809</v>
      </c>
      <c r="E95">
        <v>0</v>
      </c>
    </row>
    <row r="96" spans="1:6">
      <c r="A96" t="s">
        <v>810</v>
      </c>
      <c r="B96" t="s">
        <v>811</v>
      </c>
      <c r="C96" t="s">
        <v>812</v>
      </c>
      <c r="D96" t="s">
        <v>813</v>
      </c>
      <c r="E96">
        <v>0</v>
      </c>
    </row>
  </sheetData>
  <mergeCells count="1">
    <mergeCell ref="B1:D1"/>
  </mergeCells>
  <phoneticPr fontId="7"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51237CB-3498-485B-96BE-C24D7CF09A7A}">
            <xm:f>MATCH(B6, 'Overall Matcher'!$I$3:$I$1071, 0)</xm:f>
            <x14:dxf>
              <fill>
                <patternFill>
                  <bgColor rgb="FF92D050"/>
                </patternFill>
              </fill>
            </x14:dxf>
          </x14:cfRule>
          <xm:sqref>B6:B96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64CE-DF5F-4348-897E-DE58B7090CC1}">
  <dimension ref="A1:D28"/>
  <sheetViews>
    <sheetView workbookViewId="0">
      <selection activeCell="B6" sqref="B6"/>
    </sheetView>
  </sheetViews>
  <sheetFormatPr defaultRowHeight="13.2"/>
  <cols>
    <col min="1" max="1" width="12.33203125" bestFit="1" customWidth="1"/>
    <col min="2" max="2" width="49.21875" bestFit="1" customWidth="1"/>
  </cols>
  <sheetData>
    <row r="1" spans="1:4">
      <c r="A1" t="s">
        <v>218</v>
      </c>
      <c r="B1" s="29" t="s">
        <v>814</v>
      </c>
      <c r="C1" s="29"/>
      <c r="D1" s="29"/>
    </row>
    <row r="2" spans="1:4">
      <c r="A2" t="s">
        <v>220</v>
      </c>
      <c r="B2" t="s">
        <v>447</v>
      </c>
    </row>
    <row r="4" spans="1:4" ht="18" thickBot="1">
      <c r="A4" s="4" t="s">
        <v>223</v>
      </c>
      <c r="B4" s="4" t="s">
        <v>218</v>
      </c>
    </row>
    <row r="5" spans="1:4" ht="13.8" thickTop="1">
      <c r="A5">
        <v>3.1</v>
      </c>
      <c r="B5" t="s">
        <v>815</v>
      </c>
    </row>
    <row r="6" spans="1:4">
      <c r="A6" t="s">
        <v>816</v>
      </c>
      <c r="B6" t="s">
        <v>817</v>
      </c>
    </row>
    <row r="7" spans="1:4">
      <c r="A7" t="s">
        <v>818</v>
      </c>
      <c r="B7" t="s">
        <v>859</v>
      </c>
    </row>
    <row r="8" spans="1:4">
      <c r="A8" t="s">
        <v>819</v>
      </c>
      <c r="B8" t="s">
        <v>820</v>
      </c>
    </row>
    <row r="9" spans="1:4">
      <c r="A9" t="s">
        <v>821</v>
      </c>
      <c r="B9" t="s">
        <v>822</v>
      </c>
    </row>
    <row r="10" spans="1:4">
      <c r="A10" t="s">
        <v>823</v>
      </c>
      <c r="B10" t="s">
        <v>824</v>
      </c>
    </row>
    <row r="11" spans="1:4">
      <c r="A11">
        <v>3.2</v>
      </c>
      <c r="B11" t="s">
        <v>825</v>
      </c>
    </row>
    <row r="12" spans="1:4">
      <c r="A12" t="s">
        <v>826</v>
      </c>
      <c r="B12" t="s">
        <v>827</v>
      </c>
    </row>
    <row r="13" spans="1:4">
      <c r="A13" t="s">
        <v>828</v>
      </c>
      <c r="B13" t="s">
        <v>829</v>
      </c>
    </row>
    <row r="14" spans="1:4">
      <c r="A14" t="s">
        <v>830</v>
      </c>
      <c r="B14" t="s">
        <v>831</v>
      </c>
    </row>
    <row r="15" spans="1:4">
      <c r="A15" t="s">
        <v>832</v>
      </c>
      <c r="B15" t="s">
        <v>833</v>
      </c>
    </row>
    <row r="16" spans="1:4">
      <c r="A16" t="s">
        <v>834</v>
      </c>
      <c r="B16" t="s">
        <v>835</v>
      </c>
    </row>
    <row r="17" spans="1:2">
      <c r="A17" t="s">
        <v>836</v>
      </c>
      <c r="B17" t="s">
        <v>837</v>
      </c>
    </row>
    <row r="18" spans="1:2">
      <c r="A18" t="s">
        <v>839</v>
      </c>
      <c r="B18" t="s">
        <v>838</v>
      </c>
    </row>
    <row r="19" spans="1:2">
      <c r="A19">
        <v>3.3</v>
      </c>
      <c r="B19" t="s">
        <v>840</v>
      </c>
    </row>
    <row r="20" spans="1:2">
      <c r="A20" t="s">
        <v>841</v>
      </c>
      <c r="B20" t="s">
        <v>842</v>
      </c>
    </row>
    <row r="21" spans="1:2">
      <c r="A21" t="s">
        <v>843</v>
      </c>
      <c r="B21" t="s">
        <v>844</v>
      </c>
    </row>
    <row r="22" spans="1:2">
      <c r="A22" t="s">
        <v>845</v>
      </c>
      <c r="B22" t="s">
        <v>846</v>
      </c>
    </row>
    <row r="23" spans="1:2">
      <c r="A23" t="s">
        <v>847</v>
      </c>
      <c r="B23" t="s">
        <v>848</v>
      </c>
    </row>
    <row r="24" spans="1:2">
      <c r="A24" t="s">
        <v>849</v>
      </c>
      <c r="B24" t="s">
        <v>850</v>
      </c>
    </row>
    <row r="25" spans="1:2">
      <c r="A25" t="s">
        <v>851</v>
      </c>
      <c r="B25" t="s">
        <v>852</v>
      </c>
    </row>
    <row r="26" spans="1:2">
      <c r="A26" t="s">
        <v>853</v>
      </c>
      <c r="B26" t="s">
        <v>854</v>
      </c>
    </row>
    <row r="27" spans="1:2">
      <c r="A27" t="s">
        <v>855</v>
      </c>
      <c r="B27" t="s">
        <v>856</v>
      </c>
    </row>
    <row r="28" spans="1:2">
      <c r="A28" t="s">
        <v>857</v>
      </c>
      <c r="B28" t="s">
        <v>858</v>
      </c>
    </row>
  </sheetData>
  <mergeCells count="1">
    <mergeCell ref="B1: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0284876-0535-46E6-8F40-AF4F6A6B0583}">
            <xm:f>MATCH(A5, 'Overall Matcher'!$J$3:$J$1071, 0)</xm:f>
            <x14:dxf>
              <fill>
                <patternFill>
                  <bgColor rgb="FF92D050"/>
                </patternFill>
              </fill>
            </x14:dxf>
          </x14:cfRule>
          <xm:sqref>A5:A28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4D6B-D2E8-4927-900C-C29E3296CB13}">
  <dimension ref="A1:B69"/>
  <sheetViews>
    <sheetView topLeftCell="A21" workbookViewId="0">
      <selection activeCell="B21" sqref="B21"/>
    </sheetView>
  </sheetViews>
  <sheetFormatPr defaultRowHeight="13.2"/>
  <cols>
    <col min="1" max="1" width="12.33203125" bestFit="1" customWidth="1"/>
    <col min="2" max="2" width="250.109375" bestFit="1" customWidth="1"/>
  </cols>
  <sheetData>
    <row r="1" spans="1:2">
      <c r="A1" t="s">
        <v>218</v>
      </c>
      <c r="B1" s="5" t="s">
        <v>860</v>
      </c>
    </row>
    <row r="2" spans="1:2">
      <c r="A2" t="s">
        <v>220</v>
      </c>
      <c r="B2">
        <v>1</v>
      </c>
    </row>
    <row r="4" spans="1:2" ht="18" thickBot="1">
      <c r="A4" s="4" t="s">
        <v>223</v>
      </c>
      <c r="B4" s="4" t="s">
        <v>218</v>
      </c>
    </row>
    <row r="5" spans="1:2" ht="13.8" thickTop="1">
      <c r="A5" s="7">
        <v>1</v>
      </c>
      <c r="B5" s="7" t="s">
        <v>864</v>
      </c>
    </row>
    <row r="6" spans="1:2">
      <c r="A6" s="14" t="s">
        <v>875</v>
      </c>
      <c r="B6" t="s">
        <v>861</v>
      </c>
    </row>
    <row r="7" spans="1:2">
      <c r="A7" s="14" t="s">
        <v>876</v>
      </c>
      <c r="B7" t="s">
        <v>862</v>
      </c>
    </row>
    <row r="8" spans="1:2">
      <c r="A8" s="14" t="s">
        <v>877</v>
      </c>
      <c r="B8" t="s">
        <v>863</v>
      </c>
    </row>
    <row r="9" spans="1:2">
      <c r="A9" s="14" t="s">
        <v>878</v>
      </c>
      <c r="B9" t="s">
        <v>864</v>
      </c>
    </row>
    <row r="10" spans="1:2">
      <c r="A10" s="14" t="s">
        <v>865</v>
      </c>
      <c r="B10" t="s">
        <v>866</v>
      </c>
    </row>
    <row r="11" spans="1:2">
      <c r="A11" s="14" t="s">
        <v>867</v>
      </c>
      <c r="B11" t="s">
        <v>868</v>
      </c>
    </row>
    <row r="12" spans="1:2">
      <c r="A12" s="14" t="s">
        <v>879</v>
      </c>
      <c r="B12" t="s">
        <v>869</v>
      </c>
    </row>
    <row r="13" spans="1:2">
      <c r="A13" s="7">
        <v>2</v>
      </c>
      <c r="B13" s="7" t="s">
        <v>11</v>
      </c>
    </row>
    <row r="14" spans="1:2">
      <c r="A14" s="14" t="s">
        <v>880</v>
      </c>
      <c r="B14" t="s">
        <v>870</v>
      </c>
    </row>
    <row r="15" spans="1:2">
      <c r="A15" s="14" t="s">
        <v>871</v>
      </c>
      <c r="B15" t="s">
        <v>872</v>
      </c>
    </row>
    <row r="16" spans="1:2">
      <c r="A16" s="14" t="s">
        <v>873</v>
      </c>
      <c r="B16" t="s">
        <v>874</v>
      </c>
    </row>
    <row r="17" spans="1:2">
      <c r="A17" s="14" t="s">
        <v>881</v>
      </c>
      <c r="B17" t="s">
        <v>882</v>
      </c>
    </row>
    <row r="18" spans="1:2">
      <c r="A18" s="7">
        <v>3</v>
      </c>
      <c r="B18" s="7" t="s">
        <v>69</v>
      </c>
    </row>
    <row r="19" spans="1:2">
      <c r="A19" s="14" t="s">
        <v>883</v>
      </c>
      <c r="B19" t="s">
        <v>884</v>
      </c>
    </row>
    <row r="20" spans="1:2">
      <c r="A20" s="14" t="s">
        <v>885</v>
      </c>
      <c r="B20" t="s">
        <v>886</v>
      </c>
    </row>
    <row r="21" spans="1:2">
      <c r="A21" s="14" t="s">
        <v>887</v>
      </c>
      <c r="B21" t="s">
        <v>888</v>
      </c>
    </row>
    <row r="22" spans="1:2">
      <c r="A22" s="7">
        <v>4</v>
      </c>
      <c r="B22" s="7" t="s">
        <v>192</v>
      </c>
    </row>
    <row r="23" spans="1:2">
      <c r="A23" s="14" t="s">
        <v>889</v>
      </c>
      <c r="B23" t="s">
        <v>890</v>
      </c>
    </row>
    <row r="24" spans="1:2">
      <c r="A24" s="14" t="s">
        <v>891</v>
      </c>
      <c r="B24" t="s">
        <v>893</v>
      </c>
    </row>
    <row r="25" spans="1:2">
      <c r="A25" s="14" t="s">
        <v>892</v>
      </c>
      <c r="B25" t="s">
        <v>894</v>
      </c>
    </row>
    <row r="26" spans="1:2">
      <c r="A26" s="7">
        <v>5</v>
      </c>
      <c r="B26" s="7" t="s">
        <v>895</v>
      </c>
    </row>
    <row r="27" spans="1:2">
      <c r="A27" s="14" t="s">
        <v>896</v>
      </c>
      <c r="B27" t="s">
        <v>897</v>
      </c>
    </row>
    <row r="28" spans="1:2">
      <c r="A28" s="14" t="s">
        <v>898</v>
      </c>
      <c r="B28" t="s">
        <v>899</v>
      </c>
    </row>
    <row r="29" spans="1:2">
      <c r="A29" s="14" t="s">
        <v>900</v>
      </c>
      <c r="B29" t="s">
        <v>901</v>
      </c>
    </row>
    <row r="30" spans="1:2">
      <c r="A30" s="7">
        <v>6</v>
      </c>
      <c r="B30" s="7" t="s">
        <v>98</v>
      </c>
    </row>
    <row r="31" spans="1:2">
      <c r="A31" s="14" t="s">
        <v>902</v>
      </c>
      <c r="B31" t="s">
        <v>903</v>
      </c>
    </row>
    <row r="32" spans="1:2">
      <c r="A32" s="14" t="s">
        <v>904</v>
      </c>
      <c r="B32" t="s">
        <v>905</v>
      </c>
    </row>
    <row r="33" spans="1:2">
      <c r="A33" s="7">
        <v>7</v>
      </c>
      <c r="B33" s="7" t="s">
        <v>906</v>
      </c>
    </row>
    <row r="34" spans="1:2">
      <c r="A34" s="14" t="s">
        <v>907</v>
      </c>
      <c r="B34" t="s">
        <v>908</v>
      </c>
    </row>
    <row r="35" spans="1:2">
      <c r="A35" s="7">
        <v>8</v>
      </c>
      <c r="B35" s="7" t="s">
        <v>909</v>
      </c>
    </row>
    <row r="36" spans="1:2">
      <c r="A36" s="14" t="s">
        <v>910</v>
      </c>
      <c r="B36" t="s">
        <v>911</v>
      </c>
    </row>
    <row r="37" spans="1:2">
      <c r="A37" s="14" t="s">
        <v>912</v>
      </c>
      <c r="B37" t="s">
        <v>913</v>
      </c>
    </row>
    <row r="38" spans="1:2">
      <c r="A38" s="7">
        <v>9</v>
      </c>
      <c r="B38" s="7" t="s">
        <v>914</v>
      </c>
    </row>
    <row r="39" spans="1:2">
      <c r="A39" s="14" t="s">
        <v>915</v>
      </c>
      <c r="B39" t="s">
        <v>916</v>
      </c>
    </row>
    <row r="40" spans="1:2">
      <c r="A40" s="14" t="s">
        <v>917</v>
      </c>
      <c r="B40" t="s">
        <v>918</v>
      </c>
    </row>
    <row r="41" spans="1:2">
      <c r="A41" s="7">
        <v>10</v>
      </c>
      <c r="B41" s="7" t="s">
        <v>919</v>
      </c>
    </row>
    <row r="42" spans="1:2">
      <c r="A42" s="14" t="s">
        <v>920</v>
      </c>
      <c r="B42" t="s">
        <v>921</v>
      </c>
    </row>
    <row r="43" spans="1:2">
      <c r="A43" s="14" t="s">
        <v>922</v>
      </c>
      <c r="B43" t="s">
        <v>923</v>
      </c>
    </row>
    <row r="44" spans="1:2">
      <c r="A44" s="14" t="s">
        <v>924</v>
      </c>
      <c r="B44" t="s">
        <v>925</v>
      </c>
    </row>
    <row r="45" spans="1:2">
      <c r="A45" s="7">
        <v>11</v>
      </c>
      <c r="B45" s="7" t="s">
        <v>926</v>
      </c>
    </row>
    <row r="46" spans="1:2">
      <c r="A46" s="14" t="s">
        <v>927</v>
      </c>
      <c r="B46" t="s">
        <v>928</v>
      </c>
    </row>
    <row r="47" spans="1:2">
      <c r="A47" s="7">
        <v>12</v>
      </c>
      <c r="B47" s="7" t="s">
        <v>929</v>
      </c>
    </row>
    <row r="48" spans="1:2">
      <c r="A48" s="14" t="s">
        <v>930</v>
      </c>
      <c r="B48" t="s">
        <v>931</v>
      </c>
    </row>
    <row r="49" spans="1:2">
      <c r="A49" s="14" t="s">
        <v>932</v>
      </c>
      <c r="B49" t="s">
        <v>933</v>
      </c>
    </row>
    <row r="50" spans="1:2">
      <c r="A50" s="14" t="s">
        <v>934</v>
      </c>
      <c r="B50" t="s">
        <v>935</v>
      </c>
    </row>
    <row r="51" spans="1:2">
      <c r="A51" s="14" t="s">
        <v>936</v>
      </c>
      <c r="B51" t="s">
        <v>1163</v>
      </c>
    </row>
    <row r="52" spans="1:2">
      <c r="A52" s="7">
        <v>13</v>
      </c>
      <c r="B52" s="7" t="s">
        <v>937</v>
      </c>
    </row>
    <row r="53" spans="1:2">
      <c r="A53" s="14" t="s">
        <v>938</v>
      </c>
      <c r="B53" t="s">
        <v>939</v>
      </c>
    </row>
    <row r="54" spans="1:2">
      <c r="A54" s="14" t="s">
        <v>940</v>
      </c>
      <c r="B54" t="s">
        <v>941</v>
      </c>
    </row>
    <row r="55" spans="1:2">
      <c r="A55" s="14" t="s">
        <v>942</v>
      </c>
      <c r="B55" t="s">
        <v>943</v>
      </c>
    </row>
    <row r="56" spans="1:2">
      <c r="A56" s="14" t="s">
        <v>944</v>
      </c>
      <c r="B56" t="s">
        <v>945</v>
      </c>
    </row>
    <row r="57" spans="1:2">
      <c r="A57" s="14" t="s">
        <v>946</v>
      </c>
      <c r="B57" t="s">
        <v>947</v>
      </c>
    </row>
    <row r="58" spans="1:2">
      <c r="A58" s="7">
        <v>14</v>
      </c>
      <c r="B58" s="7" t="s">
        <v>948</v>
      </c>
    </row>
    <row r="59" spans="1:2">
      <c r="A59" s="14" t="s">
        <v>949</v>
      </c>
      <c r="B59" t="s">
        <v>952</v>
      </c>
    </row>
    <row r="60" spans="1:2">
      <c r="A60" s="14" t="s">
        <v>950</v>
      </c>
      <c r="B60" t="s">
        <v>953</v>
      </c>
    </row>
    <row r="61" spans="1:2">
      <c r="A61" s="14" t="s">
        <v>951</v>
      </c>
      <c r="B61" t="s">
        <v>954</v>
      </c>
    </row>
    <row r="62" spans="1:2">
      <c r="A62" s="7">
        <v>15</v>
      </c>
      <c r="B62" s="7" t="s">
        <v>955</v>
      </c>
    </row>
    <row r="63" spans="1:2">
      <c r="A63" s="14" t="s">
        <v>956</v>
      </c>
      <c r="B63" t="s">
        <v>958</v>
      </c>
    </row>
    <row r="64" spans="1:2">
      <c r="A64" s="14" t="s">
        <v>957</v>
      </c>
      <c r="B64" t="s">
        <v>959</v>
      </c>
    </row>
    <row r="65" spans="1:2">
      <c r="A65" s="7">
        <v>16</v>
      </c>
      <c r="B65" s="7" t="s">
        <v>960</v>
      </c>
    </row>
    <row r="66" spans="1:2">
      <c r="A66" s="14" t="s">
        <v>961</v>
      </c>
      <c r="B66" t="s">
        <v>962</v>
      </c>
    </row>
    <row r="67" spans="1:2">
      <c r="A67" s="14" t="s">
        <v>963</v>
      </c>
      <c r="B67" t="s">
        <v>964</v>
      </c>
    </row>
    <row r="68" spans="1:2">
      <c r="A68" s="14" t="s">
        <v>965</v>
      </c>
      <c r="B68" t="s">
        <v>966</v>
      </c>
    </row>
    <row r="69" spans="1:2">
      <c r="A69" s="14" t="s">
        <v>967</v>
      </c>
      <c r="B69" t="s">
        <v>968</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14076D4-4471-4E3C-BBA2-9DAA26DBC615}">
            <xm:f>MATCH(A5, 'Overall Matcher'!$K$3:$K$1071, 0)</xm:f>
            <x14:dxf>
              <fill>
                <patternFill>
                  <bgColor rgb="FF92D050"/>
                </patternFill>
              </fill>
            </x14:dxf>
          </x14:cfRule>
          <xm:sqref>A5:A69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3DC7-2C0C-4CE2-BF3E-B5D90C72D3C7}">
  <dimension ref="A1:B39"/>
  <sheetViews>
    <sheetView workbookViewId="0">
      <selection activeCell="B22" sqref="B22"/>
    </sheetView>
  </sheetViews>
  <sheetFormatPr defaultRowHeight="13.2"/>
  <cols>
    <col min="1" max="1" width="13.44140625" bestFit="1" customWidth="1"/>
    <col min="2" max="2" width="50.21875" bestFit="1" customWidth="1"/>
  </cols>
  <sheetData>
    <row r="1" spans="1:2">
      <c r="A1" t="s">
        <v>218</v>
      </c>
      <c r="B1" s="5" t="s">
        <v>217</v>
      </c>
    </row>
    <row r="2" spans="1:2">
      <c r="A2" t="s">
        <v>220</v>
      </c>
      <c r="B2" s="13">
        <v>45944</v>
      </c>
    </row>
    <row r="4" spans="1:2" ht="18" thickBot="1">
      <c r="A4" s="4" t="s">
        <v>223</v>
      </c>
      <c r="B4" s="4" t="s">
        <v>218</v>
      </c>
    </row>
    <row r="5" spans="1:2" ht="13.8" thickTop="1">
      <c r="A5" t="s">
        <v>999</v>
      </c>
      <c r="B5" t="s">
        <v>1000</v>
      </c>
    </row>
    <row r="6" spans="1:2">
      <c r="A6" t="s">
        <v>1001</v>
      </c>
      <c r="B6" t="s">
        <v>1002</v>
      </c>
    </row>
    <row r="7" spans="1:2">
      <c r="A7" t="s">
        <v>74</v>
      </c>
      <c r="B7" t="s">
        <v>1003</v>
      </c>
    </row>
    <row r="8" spans="1:2">
      <c r="A8" t="s">
        <v>1004</v>
      </c>
      <c r="B8" t="s">
        <v>1005</v>
      </c>
    </row>
    <row r="9" spans="1:2">
      <c r="A9" t="s">
        <v>1006</v>
      </c>
      <c r="B9" t="s">
        <v>1007</v>
      </c>
    </row>
    <row r="10" spans="1:2">
      <c r="A10" t="s">
        <v>211</v>
      </c>
      <c r="B10" t="s">
        <v>1008</v>
      </c>
    </row>
    <row r="11" spans="1:2">
      <c r="A11" t="s">
        <v>213</v>
      </c>
      <c r="B11" t="s">
        <v>1009</v>
      </c>
    </row>
    <row r="12" spans="1:2">
      <c r="A12" t="s">
        <v>190</v>
      </c>
      <c r="B12" t="s">
        <v>1010</v>
      </c>
    </row>
    <row r="13" spans="1:2">
      <c r="A13" t="s">
        <v>1011</v>
      </c>
      <c r="B13" t="s">
        <v>1012</v>
      </c>
    </row>
    <row r="14" spans="1:2">
      <c r="A14" t="s">
        <v>194</v>
      </c>
      <c r="B14" t="s">
        <v>1013</v>
      </c>
    </row>
    <row r="15" spans="1:2">
      <c r="A15" t="s">
        <v>202</v>
      </c>
      <c r="B15" t="s">
        <v>1014</v>
      </c>
    </row>
    <row r="16" spans="1:2">
      <c r="A16" t="s">
        <v>1015</v>
      </c>
      <c r="B16" t="s">
        <v>1016</v>
      </c>
    </row>
    <row r="17" spans="1:2">
      <c r="A17" t="s">
        <v>71</v>
      </c>
      <c r="B17" t="s">
        <v>1017</v>
      </c>
    </row>
    <row r="18" spans="1:2">
      <c r="A18" t="s">
        <v>122</v>
      </c>
      <c r="B18" t="s">
        <v>1018</v>
      </c>
    </row>
    <row r="19" spans="1:2">
      <c r="A19" t="s">
        <v>212</v>
      </c>
      <c r="B19" t="s">
        <v>1019</v>
      </c>
    </row>
    <row r="20" spans="1:2">
      <c r="A20" t="s">
        <v>177</v>
      </c>
      <c r="B20" t="s">
        <v>1020</v>
      </c>
    </row>
    <row r="21" spans="1:2">
      <c r="A21" t="s">
        <v>179</v>
      </c>
      <c r="B21" t="s">
        <v>1021</v>
      </c>
    </row>
    <row r="22" spans="1:2">
      <c r="A22" t="s">
        <v>138</v>
      </c>
      <c r="B22" t="s">
        <v>1022</v>
      </c>
    </row>
    <row r="23" spans="1:2">
      <c r="A23" t="s">
        <v>158</v>
      </c>
      <c r="B23" t="s">
        <v>1023</v>
      </c>
    </row>
    <row r="24" spans="1:2">
      <c r="A24" t="s">
        <v>176</v>
      </c>
      <c r="B24" t="s">
        <v>1024</v>
      </c>
    </row>
    <row r="25" spans="1:2">
      <c r="A25" t="s">
        <v>183</v>
      </c>
      <c r="B25" t="s">
        <v>1025</v>
      </c>
    </row>
    <row r="26" spans="1:2">
      <c r="A26" t="s">
        <v>185</v>
      </c>
      <c r="B26" t="s">
        <v>205</v>
      </c>
    </row>
    <row r="27" spans="1:2">
      <c r="A27" t="s">
        <v>186</v>
      </c>
      <c r="B27" t="s">
        <v>1026</v>
      </c>
    </row>
    <row r="28" spans="1:2">
      <c r="A28" t="s">
        <v>36</v>
      </c>
      <c r="B28" t="s">
        <v>1027</v>
      </c>
    </row>
    <row r="29" spans="1:2">
      <c r="A29" t="s">
        <v>100</v>
      </c>
      <c r="B29" t="s">
        <v>1028</v>
      </c>
    </row>
    <row r="30" spans="1:2">
      <c r="A30" t="s">
        <v>104</v>
      </c>
      <c r="B30" t="s">
        <v>1029</v>
      </c>
    </row>
    <row r="31" spans="1:2">
      <c r="A31" t="s">
        <v>58</v>
      </c>
      <c r="B31" t="s">
        <v>59</v>
      </c>
    </row>
    <row r="32" spans="1:2">
      <c r="A32" t="s">
        <v>115</v>
      </c>
      <c r="B32" t="s">
        <v>1030</v>
      </c>
    </row>
    <row r="33" spans="1:2">
      <c r="A33" t="s">
        <v>136</v>
      </c>
      <c r="B33" t="s">
        <v>1031</v>
      </c>
    </row>
    <row r="34" spans="1:2">
      <c r="A34" t="s">
        <v>47</v>
      </c>
      <c r="B34" t="s">
        <v>1032</v>
      </c>
    </row>
    <row r="35" spans="1:2">
      <c r="A35" t="s">
        <v>189</v>
      </c>
      <c r="B35" t="s">
        <v>1033</v>
      </c>
    </row>
    <row r="36" spans="1:2">
      <c r="A36" t="s">
        <v>151</v>
      </c>
      <c r="B36" t="s">
        <v>1034</v>
      </c>
    </row>
    <row r="37" spans="1:2">
      <c r="A37" t="s">
        <v>207</v>
      </c>
      <c r="B37" t="s">
        <v>206</v>
      </c>
    </row>
    <row r="38" spans="1:2">
      <c r="A38" t="s">
        <v>209</v>
      </c>
      <c r="B38" t="s">
        <v>208</v>
      </c>
    </row>
    <row r="39" spans="1:2">
      <c r="A39" t="s">
        <v>70</v>
      </c>
      <c r="B39" t="s">
        <v>1035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194FB1A-68B6-4491-99B6-5AA99CE1374B}">
            <xm:f>MATCH(A5, 'Overall Matcher'!$L$3:$L$1071, 0)</xm:f>
            <x14:dxf>
              <fill>
                <patternFill>
                  <bgColor rgb="FF92D050"/>
                </patternFill>
              </fill>
            </x14:dxf>
          </x14:cfRule>
          <xm:sqref>A5:A39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CFE34-1A44-4BC4-82E5-35E34C8C590C}">
  <dimension ref="A1:D81"/>
  <sheetViews>
    <sheetView topLeftCell="A50" workbookViewId="0">
      <selection sqref="A1:B2"/>
    </sheetView>
  </sheetViews>
  <sheetFormatPr defaultRowHeight="13.2"/>
  <cols>
    <col min="1" max="1" width="25.6640625" bestFit="1" customWidth="1"/>
    <col min="2" max="2" width="41.77734375" bestFit="1" customWidth="1"/>
    <col min="3" max="3" width="166.88671875" bestFit="1" customWidth="1"/>
    <col min="4" max="4" width="62.6640625" bestFit="1" customWidth="1"/>
  </cols>
  <sheetData>
    <row r="1" spans="1:4">
      <c r="A1" t="s">
        <v>218</v>
      </c>
      <c r="B1" s="5" t="s">
        <v>1065</v>
      </c>
      <c r="C1" t="s">
        <v>1066</v>
      </c>
      <c r="D1" t="s">
        <v>1067</v>
      </c>
    </row>
    <row r="2" spans="1:4">
      <c r="A2" t="s">
        <v>220</v>
      </c>
      <c r="B2" s="13">
        <v>45944</v>
      </c>
      <c r="D2" t="s">
        <v>1118</v>
      </c>
    </row>
    <row r="4" spans="1:4" ht="18" thickBot="1">
      <c r="A4" s="4" t="s">
        <v>992</v>
      </c>
      <c r="B4" s="4" t="s">
        <v>1043</v>
      </c>
      <c r="C4" s="4" t="s">
        <v>1060</v>
      </c>
    </row>
    <row r="5" spans="1:4" ht="13.8" thickTop="1">
      <c r="A5" t="s">
        <v>1135</v>
      </c>
      <c r="B5" t="s">
        <v>30</v>
      </c>
      <c r="C5" t="s">
        <v>1061</v>
      </c>
    </row>
    <row r="6" spans="1:4">
      <c r="A6" t="s">
        <v>1135</v>
      </c>
      <c r="B6" t="s">
        <v>30</v>
      </c>
      <c r="C6" t="s">
        <v>1062</v>
      </c>
    </row>
    <row r="7" spans="1:4">
      <c r="A7" t="s">
        <v>1135</v>
      </c>
      <c r="B7" t="s">
        <v>30</v>
      </c>
      <c r="C7" t="s">
        <v>29</v>
      </c>
    </row>
    <row r="8" spans="1:4">
      <c r="A8" t="s">
        <v>1135</v>
      </c>
      <c r="B8" t="s">
        <v>30</v>
      </c>
      <c r="C8" t="s">
        <v>31</v>
      </c>
    </row>
    <row r="9" spans="1:4">
      <c r="A9" t="s">
        <v>1135</v>
      </c>
      <c r="B9" t="s">
        <v>30</v>
      </c>
      <c r="C9" t="s">
        <v>1063</v>
      </c>
    </row>
    <row r="10" spans="1:4">
      <c r="A10" t="s">
        <v>1135</v>
      </c>
      <c r="B10" t="s">
        <v>30</v>
      </c>
      <c r="C10" t="s">
        <v>1064</v>
      </c>
    </row>
    <row r="11" spans="1:4">
      <c r="A11" t="s">
        <v>1135</v>
      </c>
      <c r="B11" t="s">
        <v>1068</v>
      </c>
      <c r="C11" t="s">
        <v>1069</v>
      </c>
    </row>
    <row r="12" spans="1:4">
      <c r="A12" t="s">
        <v>1135</v>
      </c>
      <c r="B12" t="s">
        <v>1068</v>
      </c>
      <c r="C12" t="s">
        <v>1070</v>
      </c>
    </row>
    <row r="13" spans="1:4">
      <c r="A13" t="s">
        <v>1135</v>
      </c>
      <c r="B13" t="s">
        <v>1068</v>
      </c>
      <c r="C13" t="s">
        <v>1071</v>
      </c>
    </row>
    <row r="14" spans="1:4">
      <c r="A14" t="s">
        <v>1135</v>
      </c>
      <c r="B14" t="s">
        <v>1068</v>
      </c>
      <c r="C14" t="s">
        <v>1072</v>
      </c>
    </row>
    <row r="15" spans="1:4">
      <c r="A15" t="s">
        <v>1135</v>
      </c>
      <c r="B15" t="s">
        <v>1068</v>
      </c>
      <c r="C15" t="s">
        <v>1073</v>
      </c>
    </row>
    <row r="16" spans="1:4">
      <c r="A16" t="s">
        <v>1135</v>
      </c>
      <c r="B16" t="s">
        <v>1068</v>
      </c>
      <c r="C16" t="s">
        <v>1074</v>
      </c>
    </row>
    <row r="17" spans="1:3">
      <c r="A17" t="s">
        <v>1135</v>
      </c>
      <c r="B17" t="s">
        <v>1068</v>
      </c>
      <c r="C17" t="s">
        <v>1075</v>
      </c>
    </row>
    <row r="18" spans="1:3">
      <c r="A18" t="s">
        <v>1135</v>
      </c>
      <c r="B18" t="s">
        <v>1068</v>
      </c>
      <c r="C18" t="s">
        <v>1076</v>
      </c>
    </row>
    <row r="19" spans="1:3">
      <c r="A19" t="s">
        <v>1135</v>
      </c>
      <c r="B19" t="s">
        <v>1068</v>
      </c>
      <c r="C19" t="s">
        <v>1077</v>
      </c>
    </row>
    <row r="20" spans="1:3">
      <c r="A20" t="s">
        <v>1135</v>
      </c>
      <c r="B20" t="s">
        <v>1068</v>
      </c>
      <c r="C20" t="s">
        <v>1078</v>
      </c>
    </row>
    <row r="21" spans="1:3">
      <c r="A21" t="s">
        <v>1135</v>
      </c>
      <c r="B21" t="s">
        <v>1068</v>
      </c>
      <c r="C21" t="s">
        <v>1079</v>
      </c>
    </row>
    <row r="22" spans="1:3">
      <c r="A22" t="s">
        <v>1135</v>
      </c>
      <c r="B22" t="s">
        <v>1080</v>
      </c>
      <c r="C22" t="s">
        <v>1081</v>
      </c>
    </row>
    <row r="23" spans="1:3">
      <c r="A23" t="s">
        <v>1135</v>
      </c>
      <c r="B23" t="s">
        <v>1080</v>
      </c>
      <c r="C23" t="s">
        <v>169</v>
      </c>
    </row>
    <row r="24" spans="1:3">
      <c r="A24" t="s">
        <v>1135</v>
      </c>
      <c r="B24" t="s">
        <v>1080</v>
      </c>
      <c r="C24" t="s">
        <v>1082</v>
      </c>
    </row>
    <row r="25" spans="1:3">
      <c r="A25" t="s">
        <v>1135</v>
      </c>
      <c r="B25" t="s">
        <v>1080</v>
      </c>
      <c r="C25" t="s">
        <v>1083</v>
      </c>
    </row>
    <row r="26" spans="1:3">
      <c r="A26" t="s">
        <v>1135</v>
      </c>
      <c r="B26" t="s">
        <v>1080</v>
      </c>
      <c r="C26" t="s">
        <v>1084</v>
      </c>
    </row>
    <row r="27" spans="1:3">
      <c r="A27" t="s">
        <v>1135</v>
      </c>
      <c r="B27" t="s">
        <v>1080</v>
      </c>
      <c r="C27" t="s">
        <v>1085</v>
      </c>
    </row>
    <row r="28" spans="1:3">
      <c r="A28" t="s">
        <v>1135</v>
      </c>
      <c r="B28" t="s">
        <v>204</v>
      </c>
      <c r="C28" t="s">
        <v>1086</v>
      </c>
    </row>
    <row r="29" spans="1:3">
      <c r="A29" t="s">
        <v>1135</v>
      </c>
      <c r="B29" t="s">
        <v>1087</v>
      </c>
      <c r="C29" t="s">
        <v>1088</v>
      </c>
    </row>
    <row r="30" spans="1:3">
      <c r="A30" t="s">
        <v>1135</v>
      </c>
      <c r="B30" t="s">
        <v>1087</v>
      </c>
      <c r="C30" t="s">
        <v>1089</v>
      </c>
    </row>
    <row r="31" spans="1:3">
      <c r="A31" t="s">
        <v>1135</v>
      </c>
      <c r="B31" t="s">
        <v>99</v>
      </c>
      <c r="C31" t="s">
        <v>1090</v>
      </c>
    </row>
    <row r="32" spans="1:3">
      <c r="A32" t="s">
        <v>1135</v>
      </c>
      <c r="B32" t="s">
        <v>99</v>
      </c>
      <c r="C32" t="s">
        <v>102</v>
      </c>
    </row>
    <row r="33" spans="1:3">
      <c r="A33" t="s">
        <v>1135</v>
      </c>
      <c r="B33" t="s">
        <v>99</v>
      </c>
      <c r="C33" t="s">
        <v>1091</v>
      </c>
    </row>
    <row r="34" spans="1:3">
      <c r="A34" t="s">
        <v>1135</v>
      </c>
      <c r="B34" t="s">
        <v>99</v>
      </c>
      <c r="C34" t="s">
        <v>1092</v>
      </c>
    </row>
    <row r="35" spans="1:3">
      <c r="A35" t="s">
        <v>1135</v>
      </c>
      <c r="B35" t="s">
        <v>99</v>
      </c>
      <c r="C35" t="s">
        <v>1093</v>
      </c>
    </row>
    <row r="36" spans="1:3">
      <c r="A36" t="s">
        <v>1135</v>
      </c>
      <c r="B36" t="s">
        <v>99</v>
      </c>
      <c r="C36" t="s">
        <v>1094</v>
      </c>
    </row>
    <row r="37" spans="1:3">
      <c r="A37" t="s">
        <v>1135</v>
      </c>
      <c r="B37" t="s">
        <v>134</v>
      </c>
      <c r="C37" t="s">
        <v>1095</v>
      </c>
    </row>
    <row r="38" spans="1:3">
      <c r="A38" t="s">
        <v>1135</v>
      </c>
      <c r="B38" t="s">
        <v>134</v>
      </c>
      <c r="C38" t="s">
        <v>1096</v>
      </c>
    </row>
    <row r="39" spans="1:3">
      <c r="A39" t="s">
        <v>1135</v>
      </c>
      <c r="B39" t="s">
        <v>134</v>
      </c>
      <c r="C39" t="s">
        <v>1097</v>
      </c>
    </row>
    <row r="40" spans="1:3">
      <c r="A40" t="s">
        <v>1135</v>
      </c>
      <c r="B40" t="s">
        <v>134</v>
      </c>
      <c r="C40" t="s">
        <v>1098</v>
      </c>
    </row>
    <row r="41" spans="1:3">
      <c r="A41" t="s">
        <v>1135</v>
      </c>
      <c r="B41" t="s">
        <v>134</v>
      </c>
      <c r="C41" t="s">
        <v>1099</v>
      </c>
    </row>
    <row r="42" spans="1:3">
      <c r="A42" t="s">
        <v>1135</v>
      </c>
      <c r="B42" t="s">
        <v>134</v>
      </c>
      <c r="C42" t="s">
        <v>1100</v>
      </c>
    </row>
    <row r="43" spans="1:3">
      <c r="A43" t="s">
        <v>1135</v>
      </c>
      <c r="B43" t="s">
        <v>134</v>
      </c>
      <c r="C43" t="s">
        <v>1101</v>
      </c>
    </row>
    <row r="44" spans="1:3">
      <c r="A44" t="s">
        <v>1135</v>
      </c>
      <c r="B44" t="s">
        <v>1102</v>
      </c>
      <c r="C44" t="s">
        <v>1103</v>
      </c>
    </row>
    <row r="45" spans="1:3">
      <c r="A45" t="s">
        <v>1135</v>
      </c>
      <c r="B45" t="s">
        <v>1102</v>
      </c>
      <c r="C45" t="s">
        <v>1104</v>
      </c>
    </row>
    <row r="46" spans="1:3">
      <c r="A46" t="s">
        <v>1135</v>
      </c>
      <c r="B46" t="s">
        <v>1102</v>
      </c>
      <c r="C46" t="s">
        <v>1105</v>
      </c>
    </row>
    <row r="47" spans="1:3">
      <c r="A47" t="s">
        <v>1135</v>
      </c>
      <c r="B47" t="s">
        <v>1102</v>
      </c>
      <c r="C47" t="s">
        <v>1106</v>
      </c>
    </row>
    <row r="48" spans="1:3">
      <c r="A48" t="s">
        <v>1135</v>
      </c>
      <c r="B48" t="s">
        <v>1102</v>
      </c>
      <c r="C48" t="s">
        <v>1107</v>
      </c>
    </row>
    <row r="49" spans="1:4">
      <c r="A49" t="s">
        <v>1135</v>
      </c>
      <c r="B49" t="s">
        <v>1102</v>
      </c>
      <c r="C49" t="s">
        <v>1108</v>
      </c>
    </row>
    <row r="50" spans="1:4">
      <c r="A50" t="s">
        <v>1135</v>
      </c>
      <c r="B50" t="s">
        <v>1102</v>
      </c>
      <c r="C50" t="s">
        <v>1109</v>
      </c>
    </row>
    <row r="51" spans="1:4">
      <c r="A51" t="s">
        <v>1135</v>
      </c>
      <c r="B51" t="s">
        <v>1102</v>
      </c>
      <c r="C51" t="s">
        <v>1110</v>
      </c>
    </row>
    <row r="52" spans="1:4">
      <c r="A52" t="s">
        <v>1135</v>
      </c>
      <c r="B52" t="s">
        <v>1102</v>
      </c>
      <c r="C52" t="s">
        <v>1111</v>
      </c>
    </row>
    <row r="53" spans="1:4">
      <c r="A53" t="s">
        <v>1135</v>
      </c>
      <c r="B53" t="s">
        <v>1102</v>
      </c>
      <c r="C53" t="s">
        <v>1112</v>
      </c>
    </row>
    <row r="54" spans="1:4">
      <c r="A54" t="s">
        <v>1135</v>
      </c>
      <c r="B54" t="s">
        <v>1102</v>
      </c>
      <c r="C54" t="s">
        <v>1113</v>
      </c>
    </row>
    <row r="55" spans="1:4">
      <c r="A55" t="s">
        <v>1135</v>
      </c>
      <c r="B55" t="s">
        <v>1102</v>
      </c>
      <c r="C55" t="s">
        <v>1114</v>
      </c>
    </row>
    <row r="56" spans="1:4">
      <c r="A56" t="s">
        <v>1135</v>
      </c>
      <c r="B56" t="s">
        <v>1102</v>
      </c>
      <c r="C56" t="s">
        <v>1115</v>
      </c>
    </row>
    <row r="57" spans="1:4">
      <c r="A57" t="s">
        <v>1135</v>
      </c>
      <c r="B57" t="s">
        <v>1102</v>
      </c>
      <c r="C57" t="s">
        <v>1116</v>
      </c>
    </row>
    <row r="58" spans="1:4">
      <c r="A58" t="s">
        <v>1135</v>
      </c>
      <c r="B58" t="s">
        <v>1102</v>
      </c>
      <c r="C58" t="s">
        <v>1117</v>
      </c>
    </row>
    <row r="59" spans="1:4">
      <c r="A59" t="s">
        <v>1136</v>
      </c>
      <c r="B59" t="s">
        <v>1119</v>
      </c>
      <c r="C59" t="s">
        <v>1120</v>
      </c>
    </row>
    <row r="60" spans="1:4">
      <c r="A60" t="s">
        <v>1136</v>
      </c>
      <c r="B60" t="s">
        <v>1119</v>
      </c>
      <c r="C60" t="s">
        <v>1121</v>
      </c>
      <c r="D60" t="s">
        <v>1154</v>
      </c>
    </row>
    <row r="61" spans="1:4">
      <c r="A61" t="s">
        <v>1136</v>
      </c>
      <c r="B61" t="s">
        <v>1119</v>
      </c>
      <c r="C61" t="s">
        <v>1083</v>
      </c>
    </row>
    <row r="62" spans="1:4">
      <c r="A62" t="s">
        <v>1136</v>
      </c>
      <c r="B62" t="s">
        <v>1122</v>
      </c>
      <c r="C62" t="s">
        <v>1123</v>
      </c>
    </row>
    <row r="63" spans="1:4">
      <c r="A63" t="s">
        <v>1136</v>
      </c>
      <c r="B63" t="s">
        <v>1122</v>
      </c>
      <c r="C63" t="s">
        <v>1124</v>
      </c>
    </row>
    <row r="64" spans="1:4">
      <c r="A64" t="s">
        <v>1136</v>
      </c>
      <c r="B64" t="s">
        <v>1125</v>
      </c>
      <c r="C64" t="s">
        <v>1126</v>
      </c>
    </row>
    <row r="65" spans="1:3">
      <c r="A65" t="s">
        <v>1136</v>
      </c>
      <c r="B65" t="s">
        <v>1125</v>
      </c>
      <c r="C65" t="s">
        <v>1127</v>
      </c>
    </row>
    <row r="66" spans="1:3">
      <c r="A66" t="s">
        <v>1136</v>
      </c>
      <c r="B66" t="s">
        <v>1125</v>
      </c>
      <c r="C66" t="s">
        <v>1128</v>
      </c>
    </row>
    <row r="67" spans="1:3">
      <c r="A67" t="s">
        <v>1136</v>
      </c>
      <c r="B67" t="s">
        <v>1125</v>
      </c>
      <c r="C67" t="s">
        <v>1129</v>
      </c>
    </row>
    <row r="68" spans="1:3">
      <c r="A68" t="s">
        <v>1136</v>
      </c>
      <c r="B68" t="s">
        <v>1130</v>
      </c>
      <c r="C68" t="s">
        <v>1131</v>
      </c>
    </row>
    <row r="69" spans="1:3">
      <c r="A69" t="s">
        <v>1136</v>
      </c>
      <c r="B69" t="s">
        <v>1130</v>
      </c>
      <c r="C69" t="s">
        <v>1132</v>
      </c>
    </row>
    <row r="70" spans="1:3">
      <c r="A70" t="s">
        <v>1136</v>
      </c>
      <c r="B70" t="s">
        <v>1130</v>
      </c>
      <c r="C70" t="s">
        <v>1133</v>
      </c>
    </row>
    <row r="71" spans="1:3">
      <c r="A71" t="s">
        <v>1136</v>
      </c>
      <c r="B71" t="s">
        <v>1130</v>
      </c>
      <c r="C71" t="s">
        <v>1134</v>
      </c>
    </row>
    <row r="72" spans="1:3">
      <c r="A72" t="s">
        <v>1136</v>
      </c>
      <c r="B72" t="s">
        <v>1137</v>
      </c>
      <c r="C72" t="s">
        <v>1138</v>
      </c>
    </row>
    <row r="73" spans="1:3">
      <c r="A73" t="s">
        <v>1136</v>
      </c>
      <c r="B73" t="s">
        <v>1137</v>
      </c>
      <c r="C73" t="s">
        <v>1139</v>
      </c>
    </row>
    <row r="74" spans="1:3">
      <c r="A74" t="s">
        <v>1136</v>
      </c>
      <c r="B74" t="s">
        <v>1137</v>
      </c>
      <c r="C74" t="s">
        <v>1140</v>
      </c>
    </row>
    <row r="75" spans="1:3">
      <c r="A75" t="s">
        <v>1136</v>
      </c>
      <c r="B75" t="s">
        <v>1141</v>
      </c>
      <c r="C75" t="s">
        <v>1142</v>
      </c>
    </row>
    <row r="76" spans="1:3">
      <c r="A76" t="s">
        <v>1136</v>
      </c>
      <c r="B76" t="s">
        <v>1141</v>
      </c>
      <c r="C76" t="s">
        <v>1143</v>
      </c>
    </row>
    <row r="77" spans="1:3">
      <c r="A77" t="s">
        <v>1136</v>
      </c>
      <c r="B77" t="s">
        <v>1068</v>
      </c>
      <c r="C77" t="s">
        <v>1144</v>
      </c>
    </row>
    <row r="78" spans="1:3">
      <c r="A78" t="s">
        <v>1136</v>
      </c>
      <c r="B78" t="s">
        <v>1145</v>
      </c>
      <c r="C78" t="s">
        <v>1146</v>
      </c>
    </row>
    <row r="79" spans="1:3">
      <c r="A79" t="s">
        <v>1136</v>
      </c>
      <c r="B79" t="s">
        <v>1145</v>
      </c>
      <c r="C79" t="s">
        <v>1147</v>
      </c>
    </row>
    <row r="80" spans="1:3">
      <c r="A80" t="s">
        <v>1136</v>
      </c>
      <c r="B80" t="s">
        <v>1145</v>
      </c>
      <c r="C80" t="s">
        <v>1148</v>
      </c>
    </row>
    <row r="81" spans="1:3">
      <c r="A81" t="s">
        <v>1136</v>
      </c>
      <c r="B81" t="s">
        <v>1150</v>
      </c>
      <c r="C81" t="s">
        <v>1149</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43E25BB6-5C25-4DF2-A386-6AC513821851}">
            <xm:f>MATCH(C5, 'Overall Matcher'!$M$3:$M$1068, 0)</xm:f>
            <x14:dxf>
              <fill>
                <patternFill>
                  <bgColor rgb="FF92D050"/>
                </patternFill>
              </fill>
            </x14:dxf>
          </x14:cfRule>
          <xm:sqref>C5:C81 D60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D1DC-5CBE-4287-8004-4D4DA097FF80}">
  <dimension ref="A1:D66"/>
  <sheetViews>
    <sheetView topLeftCell="A29" workbookViewId="0">
      <selection activeCell="A23" sqref="A23"/>
    </sheetView>
  </sheetViews>
  <sheetFormatPr defaultRowHeight="13.2"/>
  <cols>
    <col min="1" max="1" width="63" customWidth="1"/>
    <col min="2" max="2" width="74.5546875" bestFit="1" customWidth="1"/>
    <col min="3" max="3" width="98" bestFit="1" customWidth="1"/>
  </cols>
  <sheetData>
    <row r="1" spans="1:4">
      <c r="A1" s="14" t="s">
        <v>1236</v>
      </c>
      <c r="B1" s="5" t="s">
        <v>1179</v>
      </c>
    </row>
    <row r="2" spans="1:4">
      <c r="A2" s="14" t="s">
        <v>1237</v>
      </c>
      <c r="B2" s="26">
        <v>45947</v>
      </c>
    </row>
    <row r="3" spans="1:4">
      <c r="A3" s="14" t="s">
        <v>1234</v>
      </c>
      <c r="B3" s="3" t="s">
        <v>0</v>
      </c>
    </row>
    <row r="5" spans="1:4" ht="18" thickBot="1">
      <c r="A5" s="4" t="s">
        <v>221</v>
      </c>
      <c r="B5" s="4" t="s">
        <v>222</v>
      </c>
      <c r="C5" s="4"/>
    </row>
    <row r="6" spans="1:4" ht="15.6" thickTop="1" thickBot="1">
      <c r="A6" s="8" t="s">
        <v>1180</v>
      </c>
      <c r="B6" s="8"/>
      <c r="C6" s="8"/>
    </row>
    <row r="7" spans="1:4">
      <c r="B7" t="s">
        <v>1181</v>
      </c>
      <c r="D7">
        <v>1</v>
      </c>
    </row>
    <row r="8" spans="1:4" ht="15" thickBot="1">
      <c r="A8" s="8" t="s">
        <v>1182</v>
      </c>
      <c r="B8" s="8"/>
      <c r="C8" s="8"/>
    </row>
    <row r="9" spans="1:4">
      <c r="B9" t="s">
        <v>1183</v>
      </c>
      <c r="D9">
        <v>1</v>
      </c>
    </row>
    <row r="10" spans="1:4">
      <c r="B10" t="s">
        <v>1184</v>
      </c>
      <c r="D10">
        <v>1</v>
      </c>
    </row>
    <row r="11" spans="1:4">
      <c r="C11" t="s">
        <v>1185</v>
      </c>
      <c r="D11">
        <v>1</v>
      </c>
    </row>
    <row r="12" spans="1:4">
      <c r="B12" t="s">
        <v>1186</v>
      </c>
      <c r="D12">
        <v>1</v>
      </c>
    </row>
    <row r="13" spans="1:4">
      <c r="B13" t="s">
        <v>1187</v>
      </c>
      <c r="D13">
        <v>1</v>
      </c>
    </row>
    <row r="14" spans="1:4">
      <c r="C14" t="s">
        <v>1188</v>
      </c>
      <c r="D14">
        <v>1</v>
      </c>
    </row>
    <row r="15" spans="1:4">
      <c r="C15" t="s">
        <v>1189</v>
      </c>
      <c r="D15">
        <v>1</v>
      </c>
    </row>
    <row r="16" spans="1:4">
      <c r="C16" t="s">
        <v>1190</v>
      </c>
      <c r="D16">
        <v>1</v>
      </c>
    </row>
    <row r="17" spans="1:4">
      <c r="B17" t="s">
        <v>1191</v>
      </c>
      <c r="D17">
        <v>1</v>
      </c>
    </row>
    <row r="18" spans="1:4">
      <c r="B18" t="s">
        <v>1192</v>
      </c>
      <c r="D18">
        <v>1</v>
      </c>
    </row>
    <row r="19" spans="1:4" ht="15" thickBot="1">
      <c r="A19" s="8" t="s">
        <v>1193</v>
      </c>
      <c r="B19" s="8"/>
      <c r="C19" s="8"/>
    </row>
    <row r="20" spans="1:4">
      <c r="B20" t="s">
        <v>1194</v>
      </c>
      <c r="D20">
        <v>1</v>
      </c>
    </row>
    <row r="21" spans="1:4">
      <c r="C21" t="s">
        <v>1195</v>
      </c>
      <c r="D21">
        <v>1</v>
      </c>
    </row>
    <row r="22" spans="1:4">
      <c r="B22" t="s">
        <v>1196</v>
      </c>
      <c r="D22">
        <v>1</v>
      </c>
    </row>
    <row r="23" spans="1:4">
      <c r="B23" t="s">
        <v>1197</v>
      </c>
      <c r="D23">
        <v>1</v>
      </c>
    </row>
    <row r="24" spans="1:4">
      <c r="B24" t="s">
        <v>1198</v>
      </c>
      <c r="D24">
        <v>1</v>
      </c>
    </row>
    <row r="25" spans="1:4">
      <c r="C25" t="s">
        <v>1199</v>
      </c>
      <c r="D25">
        <v>1</v>
      </c>
    </row>
    <row r="26" spans="1:4" ht="15" thickBot="1">
      <c r="A26" s="8" t="s">
        <v>1200</v>
      </c>
      <c r="B26" s="8"/>
      <c r="C26" s="8"/>
    </row>
    <row r="27" spans="1:4">
      <c r="B27" t="s">
        <v>1201</v>
      </c>
      <c r="D27">
        <v>1</v>
      </c>
    </row>
    <row r="28" spans="1:4">
      <c r="B28" t="s">
        <v>1202</v>
      </c>
      <c r="D28">
        <v>1</v>
      </c>
    </row>
    <row r="29" spans="1:4">
      <c r="B29" t="s">
        <v>1203</v>
      </c>
      <c r="D29">
        <v>1</v>
      </c>
    </row>
    <row r="30" spans="1:4">
      <c r="B30" t="s">
        <v>1204</v>
      </c>
      <c r="D30">
        <v>1</v>
      </c>
    </row>
    <row r="31" spans="1:4">
      <c r="C31" t="s">
        <v>1205</v>
      </c>
      <c r="D31">
        <v>1</v>
      </c>
    </row>
    <row r="32" spans="1:4">
      <c r="B32" t="s">
        <v>1206</v>
      </c>
      <c r="D32">
        <v>1</v>
      </c>
    </row>
    <row r="33" spans="1:4">
      <c r="C33" t="s">
        <v>1207</v>
      </c>
      <c r="D33">
        <v>1</v>
      </c>
    </row>
    <row r="34" spans="1:4">
      <c r="C34" t="s">
        <v>1208</v>
      </c>
      <c r="D34">
        <v>1</v>
      </c>
    </row>
    <row r="35" spans="1:4">
      <c r="B35" t="s">
        <v>1209</v>
      </c>
      <c r="D35">
        <v>1</v>
      </c>
    </row>
    <row r="36" spans="1:4">
      <c r="C36" t="s">
        <v>1210</v>
      </c>
      <c r="D36">
        <v>1</v>
      </c>
    </row>
    <row r="37" spans="1:4">
      <c r="C37" t="s">
        <v>1211</v>
      </c>
      <c r="D37">
        <v>1</v>
      </c>
    </row>
    <row r="38" spans="1:4">
      <c r="B38" t="s">
        <v>1212</v>
      </c>
      <c r="D38">
        <v>1</v>
      </c>
    </row>
    <row r="39" spans="1:4">
      <c r="C39" t="s">
        <v>1213</v>
      </c>
      <c r="D39">
        <v>1</v>
      </c>
    </row>
    <row r="40" spans="1:4">
      <c r="B40" t="s">
        <v>172</v>
      </c>
      <c r="D40">
        <v>1</v>
      </c>
    </row>
    <row r="41" spans="1:4">
      <c r="B41" t="s">
        <v>195</v>
      </c>
      <c r="D41">
        <v>1</v>
      </c>
    </row>
    <row r="42" spans="1:4">
      <c r="B42" t="s">
        <v>1214</v>
      </c>
    </row>
    <row r="43" spans="1:4">
      <c r="C43" t="s">
        <v>1215</v>
      </c>
      <c r="D43">
        <v>1</v>
      </c>
    </row>
    <row r="44" spans="1:4">
      <c r="C44" t="s">
        <v>103</v>
      </c>
      <c r="D44">
        <v>1</v>
      </c>
    </row>
    <row r="45" spans="1:4">
      <c r="C45" t="s">
        <v>101</v>
      </c>
      <c r="D45">
        <v>1</v>
      </c>
    </row>
    <row r="46" spans="1:4">
      <c r="C46" t="s">
        <v>137</v>
      </c>
      <c r="D46">
        <v>1</v>
      </c>
    </row>
    <row r="47" spans="1:4" ht="15" thickBot="1">
      <c r="A47" s="8" t="s">
        <v>1216</v>
      </c>
      <c r="B47" s="8"/>
      <c r="C47" s="8"/>
    </row>
    <row r="48" spans="1:4">
      <c r="B48" t="s">
        <v>1217</v>
      </c>
      <c r="D48">
        <v>1</v>
      </c>
    </row>
    <row r="49" spans="1:4">
      <c r="B49" t="s">
        <v>914</v>
      </c>
      <c r="D49">
        <v>1</v>
      </c>
    </row>
    <row r="50" spans="1:4">
      <c r="B50" t="s">
        <v>1218</v>
      </c>
      <c r="D50">
        <v>1</v>
      </c>
    </row>
    <row r="51" spans="1:4">
      <c r="B51" t="s">
        <v>1219</v>
      </c>
      <c r="D51">
        <v>1</v>
      </c>
    </row>
    <row r="52" spans="1:4">
      <c r="B52" t="s">
        <v>1220</v>
      </c>
      <c r="D52">
        <v>1</v>
      </c>
    </row>
    <row r="53" spans="1:4">
      <c r="B53" t="s">
        <v>1221</v>
      </c>
      <c r="D53">
        <v>1</v>
      </c>
    </row>
    <row r="54" spans="1:4">
      <c r="B54" t="s">
        <v>1222</v>
      </c>
      <c r="D54">
        <v>1</v>
      </c>
    </row>
    <row r="55" spans="1:4">
      <c r="B55" t="s">
        <v>1223</v>
      </c>
      <c r="D55">
        <v>1</v>
      </c>
    </row>
    <row r="56" spans="1:4">
      <c r="B56" t="s">
        <v>5</v>
      </c>
      <c r="D56">
        <v>1</v>
      </c>
    </row>
    <row r="57" spans="1:4">
      <c r="C57" t="s">
        <v>1224</v>
      </c>
      <c r="D57">
        <v>1</v>
      </c>
    </row>
    <row r="58" spans="1:4">
      <c r="C58" t="s">
        <v>1225</v>
      </c>
      <c r="D58">
        <v>1</v>
      </c>
    </row>
    <row r="59" spans="1:4">
      <c r="C59" t="s">
        <v>1226</v>
      </c>
      <c r="D59">
        <v>1</v>
      </c>
    </row>
    <row r="60" spans="1:4">
      <c r="C60" t="s">
        <v>1227</v>
      </c>
      <c r="D60">
        <v>1</v>
      </c>
    </row>
    <row r="61" spans="1:4" ht="15" thickBot="1">
      <c r="A61" s="8" t="s">
        <v>1228</v>
      </c>
      <c r="B61" s="8"/>
      <c r="C61" s="8"/>
    </row>
    <row r="62" spans="1:4">
      <c r="B62" t="s">
        <v>1229</v>
      </c>
      <c r="D62">
        <v>1</v>
      </c>
    </row>
    <row r="63" spans="1:4" ht="15" thickBot="1">
      <c r="A63" s="8" t="s">
        <v>1230</v>
      </c>
      <c r="B63" s="8"/>
      <c r="C63" s="8"/>
    </row>
    <row r="64" spans="1:4">
      <c r="B64" t="s">
        <v>1231</v>
      </c>
      <c r="D64">
        <v>1</v>
      </c>
    </row>
    <row r="65" spans="2:4">
      <c r="B65" t="s">
        <v>1232</v>
      </c>
      <c r="D65">
        <v>1</v>
      </c>
    </row>
    <row r="66" spans="2:4">
      <c r="B66" t="s">
        <v>1233</v>
      </c>
      <c r="D66">
        <v>1</v>
      </c>
    </row>
  </sheetData>
  <hyperlinks>
    <hyperlink ref="B3" r:id="rId1" xr:uid="{C849CA3C-FCB9-4657-B03E-C647A6069CA2}"/>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8611AFA-2371-40E9-BBEA-FABF199BA386}">
            <xm:f>MATCH(B7, 'Overall Matcher'!$N$3:$N$1032, 0)</xm:f>
            <x14:dxf>
              <fill>
                <patternFill>
                  <bgColor rgb="FF92D050"/>
                </patternFill>
              </fill>
            </x14:dxf>
          </x14:cfRule>
          <xm:sqref>B7:C66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hesis xmlns="a7d6f9a1-ba01-4b9e-a134-2066a8ff8d21">Thesis</Thesis>
    <lcf76f155ced4ddcb4097134ff3c332f xmlns="a7d6f9a1-ba01-4b9e-a134-2066a8ff8d21">
      <Terms xmlns="http://schemas.microsoft.com/office/infopath/2007/PartnerControls"/>
    </lcf76f155ced4ddcb4097134ff3c332f>
    <TaxCatchAll xmlns="36ef8f23-306f-40a9-8c13-8d784f8ada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60A6A104C475458FEC4938EDE6B05B" ma:contentTypeVersion="25" ma:contentTypeDescription="Create a new document." ma:contentTypeScope="" ma:versionID="3b9c1ab0a7d790f3cecbf5dd97819178">
  <xsd:schema xmlns:xsd="http://www.w3.org/2001/XMLSchema" xmlns:xs="http://www.w3.org/2001/XMLSchema" xmlns:p="http://schemas.microsoft.com/office/2006/metadata/properties" xmlns:ns2="a7d6f9a1-ba01-4b9e-a134-2066a8ff8d21" xmlns:ns3="8a9d1fa1-cf31-4539-b11a-bb515750721c" xmlns:ns4="36ef8f23-306f-40a9-8c13-8d784f8ada0b" targetNamespace="http://schemas.microsoft.com/office/2006/metadata/properties" ma:root="true" ma:fieldsID="ac5f80e397e8827cc8556e88634542b3" ns2:_="" ns3:_="" ns4:_="">
    <xsd:import namespace="a7d6f9a1-ba01-4b9e-a134-2066a8ff8d21"/>
    <xsd:import namespace="8a9d1fa1-cf31-4539-b11a-bb515750721c"/>
    <xsd:import namespace="36ef8f23-306f-40a9-8c13-8d784f8ada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Thesi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d6f9a1-ba01-4b9e-a134-2066a8ff8d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OCR" ma:index="13" nillable="true" ma:displayName="Extracted Text" ma:hidden="true" ma:internalName="MediaServiceOCR"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Thesis" ma:index="21" nillable="true" ma:displayName="Thesis" ma:default="Thesis" ma:format="Dropdown" ma:hidden="true" ma:internalName="Thesis" ma:readOnly="false">
      <xsd:simpleType>
        <xsd:restriction base="dms:Text">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bec0234-861b-4971-9076-d25aa62994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9d1fa1-cf31-4539-b11a-bb515750721c" elementFormDefault="qualified">
    <xsd:import namespace="http://schemas.microsoft.com/office/2006/documentManagement/types"/>
    <xsd:import namespace="http://schemas.microsoft.com/office/infopath/2007/PartnerControls"/>
    <xsd:element name="SharedWithUsers" ma:index="1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ef8f23-306f-40a9-8c13-8d784f8ada0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93c6c0d-bcdb-4d22-bf9c-a6441960e301}" ma:internalName="TaxCatchAll" ma:showField="CatchAllData" ma:web="36ef8f23-306f-40a9-8c13-8d784f8ada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A41C19-2A79-4FD0-84F6-0C6167FE8254}">
  <ds:schemaRefs>
    <ds:schemaRef ds:uri="8a9d1fa1-cf31-4539-b11a-bb515750721c"/>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36ef8f23-306f-40a9-8c13-8d784f8ada0b"/>
    <ds:schemaRef ds:uri="a7d6f9a1-ba01-4b9e-a134-2066a8ff8d21"/>
    <ds:schemaRef ds:uri="http://www.w3.org/XML/1998/namespace"/>
  </ds:schemaRefs>
</ds:datastoreItem>
</file>

<file path=customXml/itemProps2.xml><?xml version="1.0" encoding="utf-8"?>
<ds:datastoreItem xmlns:ds="http://schemas.openxmlformats.org/officeDocument/2006/customXml" ds:itemID="{C71CD15D-236E-4F31-BFA6-30B07BC36D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d6f9a1-ba01-4b9e-a134-2066a8ff8d21"/>
    <ds:schemaRef ds:uri="8a9d1fa1-cf31-4539-b11a-bb515750721c"/>
    <ds:schemaRef ds:uri="36ef8f23-306f-40a9-8c13-8d784f8ada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32B0CF-7D46-4701-A658-281FD34648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 - New</vt:lpstr>
      <vt:lpstr>Overall Matcher</vt:lpstr>
      <vt:lpstr>KALM-Checks</vt:lpstr>
      <vt:lpstr>CIS Kubernetes 1.12</vt:lpstr>
      <vt:lpstr>NSA-CISA k8s hardening</vt:lpstr>
      <vt:lpstr>K8S STIG</vt:lpstr>
      <vt:lpstr>BSI</vt:lpstr>
      <vt:lpstr>PCI Container Guidance</vt:lpstr>
      <vt:lpstr>MS TM for K8S</vt:lpstr>
      <vt:lpstr>Kubernetes security checklists</vt:lpstr>
      <vt:lpstr>OWASP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Krieger, Michael</dc:creator>
  <cp:keywords/>
  <dc:description/>
  <cp:lastModifiedBy>Krieger, Michael</cp:lastModifiedBy>
  <cp:revision>30</cp:revision>
  <dcterms:created xsi:type="dcterms:W3CDTF">2022-01-07T11:32:53Z</dcterms:created>
  <dcterms:modified xsi:type="dcterms:W3CDTF">2025-11-06T09:25:24Z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0x010100DA60A6A104C475458FEC4938EDE6B05B</vt:lpwstr>
  </property>
  <property fmtid="{D5CDD505-2E9C-101B-9397-08002B2CF9AE}" pid="3" name="MediaServiceImageTags">
    <vt:lpwstr/>
  </property>
</Properties>
</file>